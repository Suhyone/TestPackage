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MBH02\"/>
    </mc:Choice>
  </mc:AlternateContent>
  <xr:revisionPtr revIDLastSave="0" documentId="13_ncr:1_{B6C4ACBF-0019-4CCB-8C95-897876D66348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7" sheetId="31" r:id="rId10"/>
    <sheet name="SECTION #6" sheetId="30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#2'!$A$1:$J$107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10">'SECTION #6'!$A$1:$J$116</definedName>
    <definedName name="_xlnm.Print_Area" localSheetId="9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1">Sheet1!$A$1:$I$117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5" l="1"/>
  <c r="Q28" i="8" l="1"/>
  <c r="P112" i="15"/>
  <c r="D112" i="15"/>
  <c r="D136" i="23"/>
  <c r="O136" i="23"/>
  <c r="D16" i="27"/>
  <c r="F99" i="1"/>
  <c r="G13" i="47"/>
  <c r="D10" i="47"/>
  <c r="J13" i="25"/>
  <c r="I13" i="39" s="1"/>
  <c r="I13" i="47"/>
  <c r="F18" i="8"/>
  <c r="G13" i="39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20" i="15"/>
  <c r="I13" i="32"/>
  <c r="I13" i="31"/>
  <c r="I13" i="30"/>
  <c r="I13" i="29"/>
  <c r="G13" i="42"/>
  <c r="E10" i="25"/>
  <c r="A114" i="1"/>
  <c r="D10" i="39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Q27" i="8"/>
  <c r="AN11" i="23"/>
  <c r="AN11" i="15"/>
  <c r="I23" i="15"/>
  <c r="I17" i="15"/>
  <c r="AT18" i="8"/>
  <c r="AT12" i="8"/>
  <c r="I16" i="37"/>
  <c r="I16" i="36"/>
  <c r="I16" i="34"/>
  <c r="I16" i="43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J16" i="25"/>
  <c r="I10" i="42"/>
  <c r="E16" i="25"/>
  <c r="D16" i="47" s="1"/>
  <c r="D16" i="42"/>
  <c r="I16" i="42"/>
  <c r="I16" i="47"/>
  <c r="F12" i="8"/>
  <c r="I14" i="15"/>
  <c r="I11" i="15"/>
  <c r="I17" i="23"/>
  <c r="I14" i="23"/>
  <c r="I11" i="23"/>
  <c r="I13" i="33" l="1"/>
  <c r="I13" i="36"/>
  <c r="AT15" i="8"/>
  <c r="I13" i="37"/>
  <c r="I13" i="27"/>
  <c r="I13" i="45"/>
  <c r="I13" i="34"/>
  <c r="I13" i="43"/>
  <c r="I13" i="42"/>
  <c r="I13" i="28"/>
  <c r="I10" i="47"/>
</calcChain>
</file>

<file path=xl/sharedStrings.xml><?xml version="1.0" encoding="utf-8"?>
<sst xmlns="http://schemas.openxmlformats.org/spreadsheetml/2006/main" count="477" uniqueCount="236">
  <si>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</si>
  <si>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</si>
  <si>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</si>
  <si>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</si>
  <si>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</si>
  <si>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</si>
  <si>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</si>
  <si>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</si>
  <si>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</si>
  <si>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</si>
  <si>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</si>
  <si>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</si>
  <si>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</si>
  <si>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</si>
  <si>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</si>
  <si>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</si>
  <si>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</si>
  <si>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</si>
  <si>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</si>
  <si>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</si>
  <si>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</si>
  <si>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</si>
  <si>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</si>
  <si>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</si>
  <si>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</si>
  <si>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</si>
  <si>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</si>
  <si>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</si>
  <si>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</si>
  <si>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</si>
  <si>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</si>
  <si>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</si>
  <si>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</si>
  <si>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</si>
  <si>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</si>
  <si>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</si>
  <si>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</si>
  <si>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</si>
  <si>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</si>
  <si>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</si>
  <si>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</si>
  <si>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</si>
  <si>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</si>
  <si>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</si>
  <si>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</si>
  <si>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</si>
  <si>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</si>
  <si>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</si>
  <si>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</si>
  <si>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</si>
  <si>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</si>
  <si>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</si>
  <si>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</si>
  <si>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</si>
  <si>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</si>
  <si>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</si>
  <si>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</si>
  <si>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</si>
  <si>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</si>
  <si>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</si>
  <si>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</si>
  <si>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</si>
  <si>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</si>
  <si>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</si>
  <si>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</si>
  <si>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</si>
  <si>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</si>
  <si>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</si>
  <si>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</si>
  <si>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</si>
  <si>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</si>
  <si>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</si>
  <si>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</si>
  <si>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</si>
  <si>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</si>
  <si>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</si>
  <si>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</si>
  <si>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</si>
  <si>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</si>
  <si>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</si>
  <si>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</si>
  <si>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</si>
  <si>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</si>
  <si>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</si>
  <si>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</si>
  <si>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</si>
  <si>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</si>
  <si>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</si>
  <si>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</si>
  <si>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</si>
  <si>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</si>
  <si>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</si>
  <si>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</si>
  <si>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</si>
  <si>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</si>
  <si>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</si>
  <si>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</si>
  <si>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</si>
  <si>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</si>
  <si>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</si>
  <si>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</si>
  <si>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</si>
  <si>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</si>
  <si>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</si>
  <si>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</si>
  <si>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</si>
  <si>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</si>
  <si>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</si>
  <si>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</si>
  <si>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</si>
  <si>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</si>
  <si>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</si>
  <si>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</si>
  <si>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</si>
  <si>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</si>
  <si>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</si>
  <si>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</si>
  <si>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</si>
  <si>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</si>
  <si>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</si>
  <si>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</si>
  <si>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</si>
  <si>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</si>
  <si>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</si>
  <si>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</si>
  <si>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</si>
  <si>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</si>
  <si>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</si>
  <si>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</si>
  <si>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</si>
  <si>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</si>
  <si>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</si>
  <si>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</si>
  <si>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</si>
  <si>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</si>
  <si>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</si>
  <si>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</si>
  <si>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</si>
  <si>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</si>
  <si>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</si>
  <si>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</si>
  <si>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</si>
  <si>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</si>
  <si>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</si>
  <si>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</si>
  <si>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</si>
  <si>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</si>
  <si>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</si>
  <si>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</si>
  <si>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</si>
  <si>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</si>
  <si>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</si>
  <si>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</si>
  <si>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</si>
  <si>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</si>
  <si>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</si>
  <si>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</si>
  <si>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</si>
  <si>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</si>
  <si>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</si>
  <si>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</si>
  <si>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</si>
  <si>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</si>
  <si>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</si>
  <si>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</si>
  <si>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</si>
  <si>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</si>
  <si>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</si>
  <si>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</si>
  <si>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</si>
  <si>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</si>
  <si>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</si>
  <si>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</si>
  <si>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</si>
  <si>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</si>
  <si>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</si>
  <si>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</si>
  <si>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</si>
  <si>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</si>
  <si>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</si>
  <si>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</si>
  <si>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</si>
  <si>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</si>
  <si>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</si>
  <si>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</si>
  <si>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</si>
  <si>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</si>
  <si>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</si>
  <si>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</si>
  <si>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</si>
  <si>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</si>
  <si>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</si>
  <si>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-</t>
  </si>
  <si>
    <t>(H)  HYDRO
(P)  PNEUMATIC</t>
  </si>
  <si>
    <t>SECTION #2</t>
  </si>
  <si>
    <t>PIPE NPD (IN)</t>
  </si>
  <si>
    <t>A312-TP304</t>
  </si>
  <si>
    <t>Mpag / bar</t>
  </si>
  <si>
    <t>DESIGN
PRESSURE
(Mpag / bar)</t>
  </si>
  <si>
    <t>TEST
PRESSURE (bar)</t>
  </si>
  <si>
    <t>TAWEESAK J.</t>
  </si>
  <si>
    <t>PUNLOP M.</t>
  </si>
  <si>
    <t>Taweesak J.</t>
  </si>
  <si>
    <t>24A0A</t>
  </si>
  <si>
    <t>IA, INSTRUMENT AIR</t>
  </si>
  <si>
    <t>1.03 / 10.3</t>
  </si>
  <si>
    <t>LM-02967</t>
  </si>
  <si>
    <t>INSTRUMENT AIR PIPING</t>
  </si>
  <si>
    <t>A240-TP304</t>
  </si>
  <si>
    <t>1 of 1</t>
  </si>
  <si>
    <t>BJCHI</t>
  </si>
  <si>
    <t>/</t>
  </si>
  <si>
    <t>Pipe spool to be clean</t>
  </si>
  <si>
    <t>B</t>
  </si>
  <si>
    <t>CLOSED</t>
  </si>
  <si>
    <t>Apichet</t>
  </si>
  <si>
    <t>Cholachai</t>
  </si>
  <si>
    <t>Panom</t>
  </si>
  <si>
    <t xml:space="preserve">NAME :                          </t>
  </si>
  <si>
    <t>Mr.Cholachai J.</t>
  </si>
  <si>
    <t>Mr. Cholachai J.</t>
  </si>
  <si>
    <t>1 of 2</t>
  </si>
  <si>
    <t>1.5, 1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</si>
  <si>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</si>
  <si>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 of 2</t>
  </si>
  <si>
    <t>MODULE NO.MD-1.1</t>
  </si>
  <si>
    <t>On Module MBH02AA701-KD01</t>
  </si>
  <si>
    <t>MD-1.1</t>
  </si>
  <si>
    <t>**MBH02AA701-KD01</t>
  </si>
  <si>
    <t>12.36</t>
  </si>
  <si>
    <t>LM-03050 Rev.2</t>
  </si>
  <si>
    <t>N05-003580</t>
  </si>
  <si>
    <t>5JEM2-TALLGRASS UNIT 2</t>
  </si>
  <si>
    <t>TP No. CT9-AC-MD-1.1-MBH02</t>
  </si>
  <si>
    <t>CT9-AC-MD-1.1-MBH02</t>
  </si>
  <si>
    <t xml:space="preserve">CT9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</si>
</sst>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86937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1477704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130405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675065</xdr:colOff>
      <xdr:row>25</xdr:row>
      <xdr:rowOff>130408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675065</xdr:colOff>
      <xdr:row>37</xdr:row>
      <xdr:rowOff>130408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F7C57BB-F6AE-143D-C4B0-AE9050A2B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675065</xdr:colOff>
      <xdr:row>40</xdr:row>
      <xdr:rowOff>130407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899D252-2781-BE6B-AF87-5693333C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675065</xdr:colOff>
      <xdr:row>34</xdr:row>
      <xdr:rowOff>130408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A3D1F9-C24C-3ABB-239E-76447338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F32122FC-6C77-47C2-4592-437468B2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B3922464-BD3D-0D3A-3B66-63468830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FDCF9636-EC2C-225E-1A82-AE19E6A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D0FE88A7-3353-51FD-79A3-9E3C35E4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DF2EDD57-37E1-9197-D9C3-F6BD85A2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46" sqref="D4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232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225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233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19" sqref="H19:I21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0"/>
      <c r="B1" s="131"/>
      <c r="C1" s="131"/>
      <c r="D1" s="23" t="s">
        <v>0</v>
      </c>
      <c r="E1" s="24"/>
      <c r="F1" s="24"/>
      <c r="G1" s="25"/>
      <c r="H1" s="131"/>
      <c r="I1" s="136"/>
    </row>
    <row r="2" spans="1:9" ht="14.4" customHeight="1" x14ac:dyDescent="0.25">
      <c r="A2" s="132"/>
      <c r="B2" s="133"/>
      <c r="C2" s="133"/>
      <c r="D2" s="26"/>
      <c r="E2" s="27"/>
      <c r="F2" s="27"/>
      <c r="G2" s="28"/>
      <c r="H2" s="133"/>
      <c r="I2" s="137"/>
    </row>
    <row r="3" spans="1:9" ht="14.4" customHeight="1" x14ac:dyDescent="0.25">
      <c r="A3" s="132"/>
      <c r="B3" s="133"/>
      <c r="C3" s="133"/>
      <c r="D3" s="26"/>
      <c r="E3" s="27"/>
      <c r="F3" s="27"/>
      <c r="G3" s="28"/>
      <c r="H3" s="133"/>
      <c r="I3" s="137"/>
    </row>
    <row r="4" spans="1:9" ht="14.4" customHeight="1" x14ac:dyDescent="0.25">
      <c r="A4" s="132"/>
      <c r="B4" s="133"/>
      <c r="C4" s="133"/>
      <c r="D4" s="26"/>
      <c r="E4" s="27"/>
      <c r="F4" s="27"/>
      <c r="G4" s="28"/>
      <c r="H4" s="133"/>
      <c r="I4" s="137"/>
    </row>
    <row r="5" spans="1:9" ht="14.4" customHeight="1" x14ac:dyDescent="0.25">
      <c r="A5" s="132"/>
      <c r="B5" s="133"/>
      <c r="C5" s="133"/>
      <c r="D5" s="26"/>
      <c r="E5" s="27"/>
      <c r="F5" s="27"/>
      <c r="G5" s="28"/>
      <c r="H5" s="133"/>
      <c r="I5" s="137"/>
    </row>
    <row r="6" spans="1:9" ht="14.4" customHeight="1" x14ac:dyDescent="0.25">
      <c r="A6" s="132"/>
      <c r="B6" s="133"/>
      <c r="C6" s="133"/>
      <c r="D6" s="26"/>
      <c r="E6" s="27"/>
      <c r="F6" s="27"/>
      <c r="G6" s="28"/>
      <c r="H6" s="133"/>
      <c r="I6" s="137"/>
    </row>
    <row r="7" spans="1:9" ht="15" customHeight="1" thickBot="1" x14ac:dyDescent="0.3">
      <c r="A7" s="134"/>
      <c r="B7" s="135"/>
      <c r="C7" s="135"/>
      <c r="D7" s="29"/>
      <c r="E7" s="30"/>
      <c r="F7" s="30"/>
      <c r="G7" s="31"/>
      <c r="H7" s="135"/>
      <c r="I7" s="138"/>
    </row>
    <row r="8" spans="1:9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</row>
    <row r="9" spans="1:9" ht="14.4" thickBot="1" x14ac:dyDescent="0.3">
      <c r="A9" s="133"/>
      <c r="B9" s="133"/>
      <c r="C9" s="133"/>
      <c r="D9" s="133"/>
      <c r="E9" s="133"/>
      <c r="F9" s="133"/>
      <c r="G9" s="133"/>
      <c r="H9" s="133"/>
      <c r="I9" s="133"/>
    </row>
    <row r="10" spans="1:9" ht="15" customHeight="1" thickBot="1" x14ac:dyDescent="0.3">
      <c r="A10" s="124" t="s">
        <v>1</v>
      </c>
      <c r="B10" s="124"/>
      <c r="C10" s="124"/>
      <c r="D10" s="124" t="s">
        <v>185</v>
      </c>
      <c r="E10" s="124"/>
      <c r="F10" s="124" t="s">
        <v>12</v>
      </c>
      <c r="G10" s="124"/>
      <c r="H10" s="124" t="s">
        <v>234</v>
      </c>
      <c r="I10" s="124"/>
    </row>
    <row r="11" spans="1:9" ht="14.4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</row>
    <row r="12" spans="1:9" ht="14.4" customHeight="1" thickBot="1" x14ac:dyDescent="0.3">
      <c r="A12" s="124"/>
      <c r="B12" s="124"/>
      <c r="C12" s="124"/>
      <c r="D12" s="124"/>
      <c r="E12" s="124"/>
      <c r="F12" s="124"/>
      <c r="G12" s="124"/>
      <c r="H12" s="124"/>
      <c r="I12" s="124"/>
    </row>
    <row r="13" spans="1:9" ht="14.4" customHeight="1" thickBot="1" x14ac:dyDescent="0.3">
      <c r="A13" s="124" t="s">
        <v>2</v>
      </c>
      <c r="B13" s="124"/>
      <c r="C13" s="124"/>
      <c r="D13" s="124" t="s">
        <v>232</v>
      </c>
      <c r="E13" s="124"/>
      <c r="F13" s="124" t="s">
        <v>13</v>
      </c>
      <c r="G13" s="124"/>
      <c r="H13" s="124" t="s">
        <v>235</v>
      </c>
      <c r="I13" s="124"/>
    </row>
    <row r="14" spans="1:9" ht="14.4" customHeight="1" thickBot="1" x14ac:dyDescent="0.3">
      <c r="A14" s="124"/>
      <c r="B14" s="124"/>
      <c r="C14" s="124"/>
      <c r="D14" s="124"/>
      <c r="E14" s="124"/>
      <c r="F14" s="124"/>
      <c r="G14" s="124"/>
      <c r="H14" s="124"/>
      <c r="I14" s="124"/>
    </row>
    <row r="15" spans="1:9" ht="14.4" customHeight="1" thickBot="1" x14ac:dyDescent="0.3">
      <c r="A15" s="124"/>
      <c r="B15" s="124"/>
      <c r="C15" s="124"/>
      <c r="D15" s="124"/>
      <c r="E15" s="124"/>
      <c r="F15" s="124"/>
      <c r="G15" s="124"/>
      <c r="H15" s="124"/>
      <c r="I15" s="124"/>
    </row>
    <row r="16" spans="1:9" ht="13.95" customHeight="1" thickBot="1" x14ac:dyDescent="0.3">
      <c r="A16" s="124" t="s">
        <v>3</v>
      </c>
      <c r="B16" s="124"/>
      <c r="C16" s="124"/>
      <c r="D16" s="124" t="s">
        <v>227</v>
      </c>
      <c r="E16" s="124"/>
      <c r="F16" s="124" t="s">
        <v>14</v>
      </c>
      <c r="G16" s="124"/>
      <c r="H16" s="124" t="s">
        <v>226</v>
      </c>
      <c r="I16" s="124"/>
    </row>
    <row r="17" spans="1:9" ht="13.95" customHeight="1" thickBot="1" x14ac:dyDescent="0.3">
      <c r="A17" s="124"/>
      <c r="B17" s="124"/>
      <c r="C17" s="124"/>
      <c r="D17" s="124"/>
      <c r="E17" s="124"/>
      <c r="F17" s="124"/>
      <c r="G17" s="124"/>
      <c r="H17" s="124"/>
      <c r="I17" s="124"/>
    </row>
    <row r="18" spans="1:9" ht="13.95" customHeight="1" thickBot="1" x14ac:dyDescent="0.3">
      <c r="A18" s="124"/>
      <c r="B18" s="124"/>
      <c r="C18" s="124"/>
      <c r="D18" s="124"/>
      <c r="E18" s="124"/>
      <c r="F18" s="124"/>
      <c r="G18" s="124"/>
      <c r="H18" s="124"/>
      <c r="I18" s="124"/>
    </row>
    <row r="19" spans="1:9" ht="14.4" customHeight="1" thickBot="1" x14ac:dyDescent="0.3">
      <c r="A19" s="124" t="s">
        <v>4</v>
      </c>
      <c r="B19" s="124"/>
      <c r="C19" s="124"/>
      <c r="D19" s="124" t="s">
        <v>203</v>
      </c>
      <c r="E19" s="124"/>
      <c r="F19" s="124" t="s">
        <v>15</v>
      </c>
      <c r="G19" s="124"/>
      <c r="H19" s="124" t="s">
        <v>234</v>
      </c>
      <c r="I19" s="124"/>
    </row>
    <row r="20" spans="1:9" ht="14.4" customHeight="1" thickBot="1" x14ac:dyDescent="0.3">
      <c r="A20" s="124"/>
      <c r="B20" s="124"/>
      <c r="C20" s="124"/>
      <c r="D20" s="124"/>
      <c r="E20" s="124"/>
      <c r="F20" s="124"/>
      <c r="G20" s="124"/>
      <c r="H20" s="124"/>
      <c r="I20" s="124"/>
    </row>
    <row r="21" spans="1:9" ht="14.4" customHeight="1" thickBot="1" x14ac:dyDescent="0.3">
      <c r="A21" s="124"/>
      <c r="B21" s="124"/>
      <c r="C21" s="124"/>
      <c r="D21" s="124"/>
      <c r="E21" s="124"/>
      <c r="F21" s="124"/>
      <c r="G21" s="124"/>
      <c r="H21" s="124"/>
      <c r="I21" s="124"/>
    </row>
    <row r="22" spans="1:9" ht="14.4" customHeight="1" thickBot="1" x14ac:dyDescent="0.3">
      <c r="A22" s="124" t="s">
        <v>190</v>
      </c>
      <c r="B22" s="124"/>
      <c r="C22" s="124"/>
      <c r="D22" s="128" t="s">
        <v>207</v>
      </c>
      <c r="E22" s="129"/>
      <c r="F22" s="124" t="s">
        <v>16</v>
      </c>
      <c r="G22" s="124"/>
      <c r="H22" s="124" t="s">
        <v>191</v>
      </c>
      <c r="I22" s="124"/>
    </row>
    <row r="23" spans="1:9" ht="14.4" customHeight="1" thickBot="1" x14ac:dyDescent="0.3">
      <c r="A23" s="124"/>
      <c r="B23" s="124"/>
      <c r="C23" s="124"/>
      <c r="D23" s="129"/>
      <c r="E23" s="129"/>
      <c r="F23" s="124"/>
      <c r="G23" s="124"/>
      <c r="H23" s="124"/>
      <c r="I23" s="124"/>
    </row>
    <row r="24" spans="1:9" ht="21" customHeight="1" thickBot="1" x14ac:dyDescent="0.3">
      <c r="A24" s="124"/>
      <c r="B24" s="124"/>
      <c r="C24" s="124"/>
      <c r="D24" s="129"/>
      <c r="E24" s="129"/>
      <c r="F24" s="124"/>
      <c r="G24" s="124"/>
      <c r="H24" s="124"/>
      <c r="I24" s="124"/>
    </row>
    <row r="25" spans="1:9" ht="14.4" customHeight="1" thickBot="1" x14ac:dyDescent="0.3">
      <c r="A25" s="124" t="s">
        <v>5</v>
      </c>
      <c r="B25" s="124"/>
      <c r="C25" s="124"/>
      <c r="D25" s="124" t="s">
        <v>174</v>
      </c>
      <c r="E25" s="124"/>
      <c r="F25" s="124" t="s">
        <v>17</v>
      </c>
      <c r="G25" s="124"/>
      <c r="H25" s="124" t="s">
        <v>42</v>
      </c>
      <c r="I25" s="124"/>
    </row>
    <row r="26" spans="1:9" ht="14.4" customHeight="1" thickBot="1" x14ac:dyDescent="0.3">
      <c r="A26" s="124"/>
      <c r="B26" s="124"/>
      <c r="C26" s="124"/>
      <c r="D26" s="124"/>
      <c r="E26" s="124"/>
      <c r="F26" s="124"/>
      <c r="G26" s="124"/>
      <c r="H26" s="124"/>
      <c r="I26" s="124"/>
    </row>
    <row r="27" spans="1:9" ht="14.4" customHeight="1" thickBot="1" x14ac:dyDescent="0.3">
      <c r="A27" s="124"/>
      <c r="B27" s="124"/>
      <c r="C27" s="124"/>
      <c r="D27" s="124"/>
      <c r="E27" s="124"/>
      <c r="F27" s="124"/>
      <c r="G27" s="124"/>
      <c r="H27" s="124"/>
      <c r="I27" s="124"/>
    </row>
    <row r="28" spans="1:9" ht="13.95" customHeight="1" thickBot="1" x14ac:dyDescent="0.3">
      <c r="A28" s="124" t="s">
        <v>6</v>
      </c>
      <c r="B28" s="124"/>
      <c r="C28" s="124"/>
      <c r="D28" s="124" t="s">
        <v>205</v>
      </c>
      <c r="E28" s="127" t="s">
        <v>197</v>
      </c>
      <c r="F28" s="124" t="s">
        <v>18</v>
      </c>
      <c r="G28" s="124"/>
      <c r="H28" s="124" t="s">
        <v>42</v>
      </c>
      <c r="I28" s="124"/>
    </row>
    <row r="29" spans="1:9" ht="13.95" customHeight="1" thickBot="1" x14ac:dyDescent="0.3">
      <c r="A29" s="124"/>
      <c r="B29" s="124"/>
      <c r="C29" s="124"/>
      <c r="D29" s="126"/>
      <c r="E29" s="127"/>
      <c r="F29" s="124"/>
      <c r="G29" s="124"/>
      <c r="H29" s="124"/>
      <c r="I29" s="124"/>
    </row>
    <row r="30" spans="1:9" ht="13.95" customHeight="1" thickBot="1" x14ac:dyDescent="0.3">
      <c r="A30" s="124"/>
      <c r="B30" s="124"/>
      <c r="C30" s="124"/>
      <c r="D30" s="126"/>
      <c r="E30" s="127"/>
      <c r="F30" s="124"/>
      <c r="G30" s="124"/>
      <c r="H30" s="124"/>
      <c r="I30" s="124"/>
    </row>
    <row r="31" spans="1:9" ht="13.95" customHeight="1" thickBot="1" x14ac:dyDescent="0.3">
      <c r="A31" s="124" t="s">
        <v>7</v>
      </c>
      <c r="B31" s="124"/>
      <c r="C31" s="124"/>
      <c r="D31" s="124">
        <v>60</v>
      </c>
      <c r="E31" s="127" t="s">
        <v>161</v>
      </c>
      <c r="F31" s="124"/>
      <c r="G31" s="124"/>
      <c r="H31" s="125"/>
      <c r="I31" s="125"/>
    </row>
    <row r="32" spans="1:9" ht="13.95" customHeight="1" thickBot="1" x14ac:dyDescent="0.3">
      <c r="A32" s="124"/>
      <c r="B32" s="124"/>
      <c r="C32" s="124"/>
      <c r="D32" s="126"/>
      <c r="E32" s="127"/>
      <c r="F32" s="124"/>
      <c r="G32" s="124"/>
      <c r="H32" s="125"/>
      <c r="I32" s="125"/>
    </row>
    <row r="33" spans="1:9" ht="13.95" customHeight="1" thickBot="1" x14ac:dyDescent="0.3">
      <c r="A33" s="124"/>
      <c r="B33" s="124"/>
      <c r="C33" s="124"/>
      <c r="D33" s="126"/>
      <c r="E33" s="127"/>
      <c r="F33" s="124"/>
      <c r="G33" s="124"/>
      <c r="H33" s="125"/>
      <c r="I33" s="125"/>
    </row>
    <row r="34" spans="1:9" ht="14.4" customHeight="1" thickBot="1" x14ac:dyDescent="0.3">
      <c r="A34" s="124" t="s">
        <v>8</v>
      </c>
      <c r="B34" s="124"/>
      <c r="C34" s="124"/>
      <c r="D34" s="124" t="s">
        <v>204</v>
      </c>
      <c r="E34" s="124"/>
      <c r="F34" s="124"/>
      <c r="G34" s="124"/>
      <c r="H34" s="125"/>
      <c r="I34" s="125"/>
    </row>
    <row r="35" spans="1:9" ht="14.4" customHeight="1" thickBot="1" x14ac:dyDescent="0.3">
      <c r="A35" s="124"/>
      <c r="B35" s="124"/>
      <c r="C35" s="124"/>
      <c r="D35" s="124"/>
      <c r="E35" s="124"/>
      <c r="F35" s="124"/>
      <c r="G35" s="124"/>
      <c r="H35" s="125"/>
      <c r="I35" s="125"/>
    </row>
    <row r="36" spans="1:9" ht="14.4" customHeight="1" thickBot="1" x14ac:dyDescent="0.3">
      <c r="A36" s="124"/>
      <c r="B36" s="124"/>
      <c r="C36" s="124"/>
      <c r="D36" s="124"/>
      <c r="E36" s="124"/>
      <c r="F36" s="124"/>
      <c r="G36" s="124"/>
      <c r="H36" s="125"/>
      <c r="I36" s="125"/>
    </row>
    <row r="37" spans="1:9" ht="14.4" customHeight="1" thickBot="1" x14ac:dyDescent="0.3">
      <c r="A37" s="124" t="s">
        <v>9</v>
      </c>
      <c r="B37" s="124"/>
      <c r="C37" s="124"/>
      <c r="D37" s="124" t="s">
        <v>196</v>
      </c>
      <c r="E37" s="124"/>
      <c r="F37" s="124"/>
      <c r="G37" s="124"/>
      <c r="H37" s="125"/>
      <c r="I37" s="125"/>
    </row>
    <row r="38" spans="1:9" ht="14.4" customHeight="1" thickBot="1" x14ac:dyDescent="0.3">
      <c r="A38" s="124"/>
      <c r="B38" s="124"/>
      <c r="C38" s="124"/>
      <c r="D38" s="124"/>
      <c r="E38" s="124"/>
      <c r="F38" s="124"/>
      <c r="G38" s="124"/>
      <c r="H38" s="125"/>
      <c r="I38" s="125"/>
    </row>
    <row r="39" spans="1:9" ht="14.4" customHeight="1" thickBot="1" x14ac:dyDescent="0.3">
      <c r="A39" s="124"/>
      <c r="B39" s="124"/>
      <c r="C39" s="124"/>
      <c r="D39" s="124"/>
      <c r="E39" s="124"/>
      <c r="F39" s="124"/>
      <c r="G39" s="124"/>
      <c r="H39" s="125"/>
      <c r="I39" s="125"/>
    </row>
    <row r="40" spans="1:9" ht="14.4" customHeight="1" thickBot="1" x14ac:dyDescent="0.3">
      <c r="A40" s="124" t="s">
        <v>10</v>
      </c>
      <c r="B40" s="124"/>
      <c r="C40" s="124"/>
      <c r="D40" s="124">
        <v>12.63</v>
      </c>
      <c r="E40" s="127" t="s">
        <v>189</v>
      </c>
      <c r="F40" s="124"/>
      <c r="G40" s="124"/>
      <c r="H40" s="125"/>
      <c r="I40" s="125"/>
    </row>
    <row r="41" spans="1:9" ht="14.4" customHeight="1" thickBot="1" x14ac:dyDescent="0.3">
      <c r="A41" s="124"/>
      <c r="B41" s="124"/>
      <c r="C41" s="124"/>
      <c r="D41" s="126"/>
      <c r="E41" s="127"/>
      <c r="F41" s="124"/>
      <c r="G41" s="124"/>
      <c r="H41" s="125"/>
      <c r="I41" s="125"/>
    </row>
    <row r="42" spans="1:9" ht="14.4" customHeight="1" thickBot="1" x14ac:dyDescent="0.3">
      <c r="A42" s="124"/>
      <c r="B42" s="124"/>
      <c r="C42" s="124"/>
      <c r="D42" s="126"/>
      <c r="E42" s="127"/>
      <c r="F42" s="124"/>
      <c r="G42" s="124"/>
      <c r="H42" s="125"/>
      <c r="I42" s="125"/>
    </row>
    <row r="43" spans="1:9" ht="13.95" customHeight="1" thickBot="1" x14ac:dyDescent="0.3">
      <c r="A43" s="124" t="s">
        <v>11</v>
      </c>
      <c r="B43" s="124"/>
      <c r="C43" s="124"/>
      <c r="D43" s="124">
        <v>10</v>
      </c>
      <c r="E43" s="127" t="s">
        <v>162</v>
      </c>
      <c r="F43" s="124"/>
      <c r="G43" s="124"/>
      <c r="H43" s="125"/>
      <c r="I43" s="125"/>
    </row>
    <row r="44" spans="1:9" ht="13.95" customHeight="1" thickBot="1" x14ac:dyDescent="0.3">
      <c r="A44" s="124"/>
      <c r="B44" s="124"/>
      <c r="C44" s="124"/>
      <c r="D44" s="124"/>
      <c r="E44" s="127"/>
      <c r="F44" s="124"/>
      <c r="G44" s="124"/>
      <c r="H44" s="125"/>
      <c r="I44" s="125"/>
    </row>
    <row r="45" spans="1:9" ht="14.4" customHeight="1" thickBot="1" x14ac:dyDescent="0.3">
      <c r="A45" s="124"/>
      <c r="B45" s="124"/>
      <c r="C45" s="124"/>
      <c r="D45" s="124"/>
      <c r="E45" s="127"/>
      <c r="F45" s="124"/>
      <c r="G45" s="124"/>
      <c r="H45" s="125"/>
      <c r="I45" s="125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102"/>
      <c r="B95" s="103"/>
      <c r="C95" s="104"/>
      <c r="D95" s="105"/>
      <c r="E95" s="103"/>
      <c r="F95" s="106"/>
      <c r="G95" s="106"/>
      <c r="H95" s="106"/>
      <c r="I95" s="89"/>
    </row>
    <row r="96" spans="1:9" ht="14.4" customHeight="1" thickBot="1" x14ac:dyDescent="0.3">
      <c r="A96" s="93"/>
      <c r="B96" s="94"/>
      <c r="C96" s="97"/>
      <c r="D96" s="98"/>
      <c r="E96" s="94"/>
      <c r="F96" s="100"/>
      <c r="G96" s="100"/>
      <c r="H96" s="100"/>
      <c r="I96" s="90"/>
    </row>
    <row r="97" spans="1:9" ht="14.4" customHeight="1" x14ac:dyDescent="0.25">
      <c r="A97" s="91"/>
      <c r="B97" s="92"/>
      <c r="C97" s="95"/>
      <c r="D97" s="96"/>
      <c r="E97" s="92"/>
      <c r="F97" s="99"/>
      <c r="G97" s="99"/>
      <c r="H97" s="99"/>
      <c r="I97" s="101"/>
    </row>
    <row r="98" spans="1:9" ht="14.4" customHeight="1" thickBot="1" x14ac:dyDescent="0.3">
      <c r="A98" s="93"/>
      <c r="B98" s="94"/>
      <c r="C98" s="97"/>
      <c r="D98" s="98"/>
      <c r="E98" s="94"/>
      <c r="F98" s="100"/>
      <c r="G98" s="100"/>
      <c r="H98" s="100"/>
      <c r="I98" s="90"/>
    </row>
    <row r="99" spans="1:9" ht="14.4" customHeight="1" x14ac:dyDescent="0.25">
      <c r="A99" s="115">
        <v>0</v>
      </c>
      <c r="B99" s="116"/>
      <c r="C99" s="118" t="s">
        <v>21</v>
      </c>
      <c r="D99" s="119"/>
      <c r="E99" s="116"/>
      <c r="F99" s="111">
        <f ca="1">TODAY()</f>
        <v>46322</v>
      </c>
      <c r="G99" s="107" t="s">
        <v>200</v>
      </c>
      <c r="H99" s="107" t="s">
        <v>201</v>
      </c>
      <c r="I99" s="109" t="s">
        <v>166</v>
      </c>
    </row>
    <row r="100" spans="1:9" ht="14.4" customHeight="1" thickBot="1" x14ac:dyDescent="0.3">
      <c r="A100" s="49"/>
      <c r="B100" s="50"/>
      <c r="C100" s="45"/>
      <c r="D100" s="46"/>
      <c r="E100" s="50"/>
      <c r="F100" s="112"/>
      <c r="G100" s="113"/>
      <c r="H100" s="113"/>
      <c r="I100" s="114"/>
    </row>
    <row r="101" spans="1:9" ht="14.4" customHeight="1" x14ac:dyDescent="0.25">
      <c r="A101" s="115" t="s">
        <v>19</v>
      </c>
      <c r="B101" s="116"/>
      <c r="C101" s="118" t="s">
        <v>20</v>
      </c>
      <c r="D101" s="119"/>
      <c r="E101" s="116"/>
      <c r="F101" s="107" t="s">
        <v>22</v>
      </c>
      <c r="G101" s="107" t="s">
        <v>23</v>
      </c>
      <c r="H101" s="107" t="s">
        <v>24</v>
      </c>
      <c r="I101" s="109" t="s">
        <v>25</v>
      </c>
    </row>
    <row r="102" spans="1:9" ht="14.4" customHeight="1" thickBot="1" x14ac:dyDescent="0.3">
      <c r="A102" s="41"/>
      <c r="B102" s="117"/>
      <c r="C102" s="120"/>
      <c r="D102" s="42"/>
      <c r="E102" s="117"/>
      <c r="F102" s="108"/>
      <c r="G102" s="108"/>
      <c r="H102" s="108"/>
      <c r="I102" s="110"/>
    </row>
    <row r="103" spans="1:9" ht="15" customHeight="1" thickTop="1" x14ac:dyDescent="0.25">
      <c r="A103" s="38" t="s">
        <v>26</v>
      </c>
      <c r="B103" s="39"/>
      <c r="C103" s="39"/>
      <c r="D103" s="39"/>
      <c r="E103" s="39"/>
      <c r="F103" s="39"/>
      <c r="G103" s="39"/>
      <c r="H103" s="39"/>
      <c r="I103" s="40"/>
    </row>
    <row r="104" spans="1:9" ht="15" customHeight="1" thickBot="1" x14ac:dyDescent="0.3">
      <c r="A104" s="41"/>
      <c r="B104" s="42"/>
      <c r="C104" s="42"/>
      <c r="D104" s="42"/>
      <c r="E104" s="42"/>
      <c r="F104" s="42"/>
      <c r="G104" s="42"/>
      <c r="H104" s="42"/>
      <c r="I104" s="43"/>
    </row>
    <row r="105" spans="1:9" ht="13.95" customHeight="1" thickTop="1" x14ac:dyDescent="0.25">
      <c r="A105" s="38" t="s">
        <v>23</v>
      </c>
      <c r="B105" s="39"/>
      <c r="C105" s="39"/>
      <c r="D105" s="48"/>
      <c r="E105" s="44" t="s">
        <v>176</v>
      </c>
      <c r="F105" s="48"/>
      <c r="G105" s="44" t="s">
        <v>27</v>
      </c>
      <c r="H105" s="39"/>
      <c r="I105" s="40"/>
    </row>
    <row r="106" spans="1:9" ht="14.4" customHeight="1" thickBot="1" x14ac:dyDescent="0.3">
      <c r="A106" s="49"/>
      <c r="B106" s="46"/>
      <c r="C106" s="46"/>
      <c r="D106" s="50"/>
      <c r="E106" s="45"/>
      <c r="F106" s="50"/>
      <c r="G106" s="45"/>
      <c r="H106" s="46"/>
      <c r="I106" s="47"/>
    </row>
    <row r="107" spans="1:9" ht="20.399999999999999" customHeight="1" x14ac:dyDescent="0.25">
      <c r="A107" s="51" t="s">
        <v>202</v>
      </c>
      <c r="B107" s="52"/>
      <c r="C107" s="52"/>
      <c r="D107" s="53"/>
      <c r="E107" s="60"/>
      <c r="F107" s="53"/>
      <c r="G107" s="67"/>
      <c r="H107" s="68"/>
      <c r="I107" s="69"/>
    </row>
    <row r="108" spans="1:9" ht="20.399999999999999" customHeight="1" x14ac:dyDescent="0.25">
      <c r="A108" s="54"/>
      <c r="B108" s="55"/>
      <c r="C108" s="55"/>
      <c r="D108" s="56"/>
      <c r="E108" s="61"/>
      <c r="F108" s="56"/>
      <c r="G108" s="63"/>
      <c r="H108" s="70"/>
      <c r="I108" s="71"/>
    </row>
    <row r="109" spans="1:9" ht="20.399999999999999" customHeight="1" x14ac:dyDescent="0.25">
      <c r="A109" s="54"/>
      <c r="B109" s="55"/>
      <c r="C109" s="55"/>
      <c r="D109" s="56"/>
      <c r="E109" s="61"/>
      <c r="F109" s="56"/>
      <c r="G109" s="63"/>
      <c r="H109" s="70"/>
      <c r="I109" s="71"/>
    </row>
    <row r="110" spans="1:9" ht="20.399999999999999" customHeight="1" x14ac:dyDescent="0.25">
      <c r="A110" s="57"/>
      <c r="B110" s="58"/>
      <c r="C110" s="58"/>
      <c r="D110" s="59"/>
      <c r="E110" s="62"/>
      <c r="F110" s="59"/>
      <c r="G110" s="72"/>
      <c r="H110" s="73"/>
      <c r="I110" s="74"/>
    </row>
    <row r="111" spans="1:9" ht="20.399999999999999" customHeight="1" x14ac:dyDescent="0.25">
      <c r="A111" s="121" t="s">
        <v>28</v>
      </c>
      <c r="B111" s="122"/>
      <c r="C111" s="122"/>
      <c r="D111" s="78"/>
      <c r="E111" s="77" t="s">
        <v>31</v>
      </c>
      <c r="F111" s="78"/>
      <c r="G111" s="81" t="s">
        <v>33</v>
      </c>
      <c r="H111" s="82"/>
      <c r="I111" s="83"/>
    </row>
    <row r="112" spans="1:9" ht="20.399999999999999" customHeight="1" x14ac:dyDescent="0.25">
      <c r="A112" s="123"/>
      <c r="B112" s="84"/>
      <c r="C112" s="84"/>
      <c r="D112" s="80"/>
      <c r="E112" s="79"/>
      <c r="F112" s="80"/>
      <c r="G112" s="79"/>
      <c r="H112" s="84"/>
      <c r="I112" s="85"/>
    </row>
    <row r="113" spans="1:9" ht="20.399999999999999" customHeight="1" x14ac:dyDescent="0.25">
      <c r="A113" s="123"/>
      <c r="B113" s="84"/>
      <c r="C113" s="84"/>
      <c r="D113" s="80"/>
      <c r="E113" s="79"/>
      <c r="F113" s="80"/>
      <c r="G113" s="79"/>
      <c r="H113" s="84"/>
      <c r="I113" s="85"/>
    </row>
    <row r="114" spans="1:9" ht="20.399999999999999" customHeight="1" x14ac:dyDescent="0.25">
      <c r="A114" s="86">
        <f ca="1">TODAY()</f>
        <v>46322</v>
      </c>
      <c r="B114" s="87"/>
      <c r="C114" s="87"/>
      <c r="D114" s="88"/>
      <c r="E114" s="65" t="s">
        <v>167</v>
      </c>
      <c r="F114" s="34"/>
      <c r="G114" s="65" t="s">
        <v>167</v>
      </c>
      <c r="H114" s="33"/>
      <c r="I114" s="75"/>
    </row>
    <row r="115" spans="1:9" ht="20.399999999999999" x14ac:dyDescent="0.35">
      <c r="A115" s="32" t="s">
        <v>29</v>
      </c>
      <c r="B115" s="33"/>
      <c r="C115" s="33"/>
      <c r="D115" s="34"/>
      <c r="E115" s="63" t="s">
        <v>30</v>
      </c>
      <c r="F115" s="64"/>
      <c r="G115" s="63" t="s">
        <v>32</v>
      </c>
      <c r="H115" s="70"/>
      <c r="I115" s="71"/>
    </row>
    <row r="116" spans="1:9" ht="20.399999999999999" customHeight="1" x14ac:dyDescent="0.25">
      <c r="A116" s="32" t="s">
        <v>22</v>
      </c>
      <c r="B116" s="33"/>
      <c r="C116" s="33"/>
      <c r="D116" s="34"/>
      <c r="E116" s="65" t="s">
        <v>22</v>
      </c>
      <c r="F116" s="34"/>
      <c r="G116" s="65" t="s">
        <v>22</v>
      </c>
      <c r="H116" s="33"/>
      <c r="I116" s="75"/>
    </row>
    <row r="117" spans="1:9" ht="21" customHeight="1" thickBot="1" x14ac:dyDescent="0.3">
      <c r="A117" s="35"/>
      <c r="B117" s="36"/>
      <c r="C117" s="36"/>
      <c r="D117" s="37"/>
      <c r="E117" s="66"/>
      <c r="F117" s="37"/>
      <c r="G117" s="66"/>
      <c r="H117" s="36"/>
      <c r="I117" s="76"/>
    </row>
    <row r="118" spans="1:9" ht="14.4" thickTop="1" x14ac:dyDescent="0.25"/>
  </sheetData>
  <mergeCells count="99"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I101:I102"/>
    <mergeCell ref="F99:F100"/>
    <mergeCell ref="G99:G100"/>
    <mergeCell ref="H99:H100"/>
    <mergeCell ref="I99:I100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P18" sqref="P18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7"/>
      <c r="B1" s="148"/>
      <c r="C1" s="148"/>
      <c r="D1" s="148"/>
      <c r="E1" s="158" t="s">
        <v>163</v>
      </c>
      <c r="F1" s="159"/>
      <c r="G1" s="159"/>
      <c r="H1" s="159"/>
      <c r="I1" s="160"/>
      <c r="J1" s="148"/>
      <c r="K1" s="153"/>
    </row>
    <row r="2" spans="1:11" ht="14.4" customHeight="1" thickBot="1" x14ac:dyDescent="0.3">
      <c r="A2" s="149"/>
      <c r="B2" s="150"/>
      <c r="C2" s="150"/>
      <c r="D2" s="150"/>
      <c r="E2" s="161"/>
      <c r="F2" s="162"/>
      <c r="G2" s="162"/>
      <c r="H2" s="162"/>
      <c r="I2" s="163"/>
      <c r="J2" s="150"/>
      <c r="K2" s="154"/>
    </row>
    <row r="3" spans="1:11" ht="14.4" customHeight="1" thickBot="1" x14ac:dyDescent="0.3">
      <c r="A3" s="149"/>
      <c r="B3" s="150"/>
      <c r="C3" s="150"/>
      <c r="D3" s="150"/>
      <c r="E3" s="161"/>
      <c r="F3" s="162"/>
      <c r="G3" s="162"/>
      <c r="H3" s="162"/>
      <c r="I3" s="163"/>
      <c r="J3" s="150"/>
      <c r="K3" s="154"/>
    </row>
    <row r="4" spans="1:11" ht="14.4" customHeight="1" thickBot="1" x14ac:dyDescent="0.3">
      <c r="A4" s="149"/>
      <c r="B4" s="150"/>
      <c r="C4" s="150"/>
      <c r="D4" s="150"/>
      <c r="E4" s="161"/>
      <c r="F4" s="162"/>
      <c r="G4" s="162"/>
      <c r="H4" s="162"/>
      <c r="I4" s="163"/>
      <c r="J4" s="150"/>
      <c r="K4" s="154"/>
    </row>
    <row r="5" spans="1:11" ht="14.4" customHeight="1" thickBot="1" x14ac:dyDescent="0.3">
      <c r="A5" s="149"/>
      <c r="B5" s="150"/>
      <c r="C5" s="150"/>
      <c r="D5" s="150"/>
      <c r="E5" s="161"/>
      <c r="F5" s="162"/>
      <c r="G5" s="162"/>
      <c r="H5" s="162"/>
      <c r="I5" s="163"/>
      <c r="J5" s="150"/>
      <c r="K5" s="154"/>
    </row>
    <row r="6" spans="1:11" ht="14.4" customHeight="1" thickBot="1" x14ac:dyDescent="0.3">
      <c r="A6" s="149"/>
      <c r="B6" s="150"/>
      <c r="C6" s="150"/>
      <c r="D6" s="150"/>
      <c r="E6" s="161"/>
      <c r="F6" s="162"/>
      <c r="G6" s="162"/>
      <c r="H6" s="162"/>
      <c r="I6" s="163"/>
      <c r="J6" s="150"/>
      <c r="K6" s="154"/>
    </row>
    <row r="7" spans="1:11" ht="16.2" customHeight="1" thickBot="1" x14ac:dyDescent="0.3">
      <c r="A7" s="151"/>
      <c r="B7" s="152"/>
      <c r="C7" s="152"/>
      <c r="D7" s="152"/>
      <c r="E7" s="164"/>
      <c r="F7" s="165"/>
      <c r="G7" s="165"/>
      <c r="H7" s="165"/>
      <c r="I7" s="166"/>
      <c r="J7" s="152"/>
      <c r="K7" s="155"/>
    </row>
    <row r="8" spans="1:11" ht="14.4" thickTop="1" x14ac:dyDescent="0.25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</row>
    <row r="9" spans="1:11" ht="13.2" customHeight="1" thickBo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6" t="str">
        <f>Sheet1!D13</f>
        <v>5JEM2-TALLGRASS UNIT 2</v>
      </c>
      <c r="F10" s="156"/>
      <c r="G10" s="145" t="s">
        <v>15</v>
      </c>
      <c r="H10" s="145"/>
      <c r="I10" s="145"/>
      <c r="J10" s="146" t="str">
        <f>Sheet1!H$10</f>
        <v>CT9-AC-MD-1.1-MBH02</v>
      </c>
      <c r="K10" s="146"/>
    </row>
    <row r="11" spans="1:11" s="17" customFormat="1" ht="13.95" customHeight="1" thickBot="1" x14ac:dyDescent="0.3">
      <c r="A11" s="145"/>
      <c r="B11" s="145"/>
      <c r="C11" s="145"/>
      <c r="D11" s="145"/>
      <c r="E11" s="156"/>
      <c r="F11" s="156"/>
      <c r="G11" s="145"/>
      <c r="H11" s="145"/>
      <c r="I11" s="145"/>
      <c r="J11" s="146"/>
      <c r="K11" s="146"/>
    </row>
    <row r="12" spans="1:11" s="17" customFormat="1" ht="13.95" customHeight="1" thickBot="1" x14ac:dyDescent="0.3">
      <c r="A12" s="145"/>
      <c r="B12" s="145"/>
      <c r="C12" s="145"/>
      <c r="D12" s="145"/>
      <c r="E12" s="156"/>
      <c r="F12" s="156"/>
      <c r="G12" s="145"/>
      <c r="H12" s="145"/>
      <c r="I12" s="145"/>
      <c r="J12" s="146"/>
      <c r="K12" s="146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6" t="str">
        <f>Sheet1!D16</f>
        <v>MD-1.1</v>
      </c>
      <c r="K13" s="146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6"/>
      <c r="K14" s="146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6"/>
      <c r="K15" s="146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6" t="str">
        <f>Sheet1!D$22</f>
        <v>INSTRUMENT AIR PIPING</v>
      </c>
      <c r="F16" s="146"/>
      <c r="G16" s="145" t="s">
        <v>4</v>
      </c>
      <c r="H16" s="145"/>
      <c r="I16" s="145"/>
      <c r="J16" s="145" t="str">
        <f>Sheet1!D$19</f>
        <v>24A0A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6"/>
      <c r="F17" s="146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6"/>
      <c r="F18" s="146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1"/>
      <c r="B19" s="141"/>
      <c r="C19" s="141"/>
      <c r="D19" s="141"/>
      <c r="E19" s="125"/>
      <c r="F19" s="125"/>
      <c r="G19" s="124"/>
      <c r="H19" s="124"/>
      <c r="I19" s="124"/>
      <c r="J19" s="125"/>
      <c r="K19" s="125"/>
    </row>
    <row r="20" spans="1:11" s="17" customFormat="1" ht="21" customHeight="1" thickBot="1" x14ac:dyDescent="0.3">
      <c r="A20" s="141"/>
      <c r="B20" s="141"/>
      <c r="C20" s="141"/>
      <c r="D20" s="141"/>
      <c r="E20" s="125"/>
      <c r="F20" s="125"/>
      <c r="G20" s="124"/>
      <c r="H20" s="124"/>
      <c r="I20" s="124"/>
      <c r="J20" s="125"/>
      <c r="K20" s="125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173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186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56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tr">
        <f>Sheet2!J10</f>
        <v>CT9-AC-MD-1.1-MBH02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tr">
        <f>Sheet2!E16</f>
        <v>INSTRUMENT AIR PIPING</v>
      </c>
      <c r="E16" s="146"/>
      <c r="F16" s="146"/>
      <c r="G16" s="145" t="s">
        <v>4</v>
      </c>
      <c r="H16" s="145"/>
      <c r="I16" s="145" t="str">
        <f>Sheet2!J16</f>
        <v>24A0A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66.599999999999994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3.9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3.9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3.9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3.9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3.9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3.9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07"/>
  <sheetViews>
    <sheetView view="pageBreakPreview" zoomScale="55" zoomScaleNormal="70" zoomScaleSheetLayoutView="55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194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tr">
        <f>Sheet2!J10</f>
        <v>CT9-AC-MD-1.1-MBH02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tr">
        <f>Sheet2!E16</f>
        <v>INSTRUMENT AIR PIPING</v>
      </c>
      <c r="E16" s="146"/>
      <c r="F16" s="146"/>
      <c r="G16" s="145" t="s">
        <v>4</v>
      </c>
      <c r="H16" s="145"/>
      <c r="I16" s="145" t="str">
        <f>Sheet2!J16</f>
        <v>24A0A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29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 t="s">
        <v>223</v>
      </c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3.9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3.9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3.9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3.9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3.9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3.9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</sheetData>
  <mergeCells count="135"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view="pageBreakPreview" topLeftCell="A19" zoomScale="40" zoomScaleNormal="40" zoomScaleSheetLayoutView="40" zoomScalePageLayoutView="40" workbookViewId="0">
      <selection activeCell="J32" sqref="J32:N32"/>
    </sheetView>
  </sheetViews>
  <sheetFormatPr defaultColWidth="8.88671875" defaultRowHeight="13.8" x14ac:dyDescent="0.25"/>
  <cols>
    <col min="1" max="7" width="8.6640625" style="1" customWidth="1"/>
    <col min="8" max="8" width="15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tr">
        <f>Sheet1!H10</f>
        <v>CT9-AC-MD-1.1-MBH02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tr">
        <f>Sheet2!J13</f>
        <v>MD-1.1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tr">
        <f>Sheet1!D$22</f>
        <v>INSTRUMENT AIR PIPING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tr">
        <f>Sheet1!D$19</f>
        <v>24A0A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198</v>
      </c>
      <c r="AC21" s="195"/>
      <c r="AD21" s="196" t="s">
        <v>172</v>
      </c>
      <c r="AE21" s="195"/>
      <c r="AF21" s="196" t="s">
        <v>199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195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1</v>
      </c>
      <c r="B27" s="195"/>
      <c r="C27" s="191" t="s">
        <v>231</v>
      </c>
      <c r="D27" s="192"/>
      <c r="E27" s="192"/>
      <c r="F27" s="192"/>
      <c r="G27" s="193"/>
      <c r="H27" s="18" t="s">
        <v>221</v>
      </c>
      <c r="I27" s="18">
        <v>0</v>
      </c>
      <c r="J27" s="194" t="s">
        <v>192</v>
      </c>
      <c r="K27" s="195"/>
      <c r="L27" s="195"/>
      <c r="M27" s="195"/>
      <c r="N27" s="195"/>
      <c r="O27" s="19" t="s">
        <v>192</v>
      </c>
      <c r="P27" s="19" t="s">
        <v>192</v>
      </c>
      <c r="Q27" s="195" t="str">
        <f>Sheet1!D$16</f>
        <v>MD-1.1</v>
      </c>
      <c r="R27" s="195"/>
      <c r="S27" s="195" t="s">
        <v>228</v>
      </c>
      <c r="T27" s="195"/>
      <c r="U27" s="194" t="s">
        <v>192</v>
      </c>
      <c r="V27" s="195"/>
      <c r="W27" s="195"/>
      <c r="X27" s="195"/>
      <c r="Y27" s="195"/>
      <c r="Z27" s="196" t="s">
        <v>207</v>
      </c>
      <c r="AA27" s="196"/>
      <c r="AB27" s="217" t="s">
        <v>205</v>
      </c>
      <c r="AC27" s="195"/>
      <c r="AD27" s="195">
        <v>60</v>
      </c>
      <c r="AE27" s="195"/>
      <c r="AF27" s="217" t="s">
        <v>229</v>
      </c>
      <c r="AG27" s="195"/>
      <c r="AH27" s="195" t="s">
        <v>175</v>
      </c>
      <c r="AI27" s="195"/>
      <c r="AJ27" s="195" t="s">
        <v>208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222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</v>
      </c>
      <c r="B28" s="195"/>
      <c r="C28" s="191" t="s">
        <v>231</v>
      </c>
      <c r="D28" s="192"/>
      <c r="E28" s="192"/>
      <c r="F28" s="192"/>
      <c r="G28" s="193"/>
      <c r="H28" s="18" t="s">
        <v>224</v>
      </c>
      <c r="I28" s="18">
        <v>0</v>
      </c>
      <c r="J28" s="194" t="s">
        <v>192</v>
      </c>
      <c r="K28" s="195"/>
      <c r="L28" s="195"/>
      <c r="M28" s="195"/>
      <c r="N28" s="195"/>
      <c r="O28" s="19" t="s">
        <v>192</v>
      </c>
      <c r="P28" s="19" t="s">
        <v>192</v>
      </c>
      <c r="Q28" s="195" t="str">
        <f>Sheet1!D$16</f>
        <v>MD-1.1</v>
      </c>
      <c r="R28" s="195"/>
      <c r="S28" s="195" t="s">
        <v>228</v>
      </c>
      <c r="T28" s="195"/>
      <c r="U28" s="194" t="s">
        <v>192</v>
      </c>
      <c r="V28" s="195"/>
      <c r="W28" s="195"/>
      <c r="X28" s="195"/>
      <c r="Y28" s="195"/>
      <c r="Z28" s="196" t="s">
        <v>207</v>
      </c>
      <c r="AA28" s="196"/>
      <c r="AB28" s="217" t="s">
        <v>205</v>
      </c>
      <c r="AC28" s="195"/>
      <c r="AD28" s="195">
        <v>60</v>
      </c>
      <c r="AE28" s="195"/>
      <c r="AF28" s="217" t="s">
        <v>229</v>
      </c>
      <c r="AG28" s="195"/>
      <c r="AH28" s="195" t="s">
        <v>175</v>
      </c>
      <c r="AI28" s="195"/>
      <c r="AJ28" s="195" t="s">
        <v>208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222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/>
      <c r="B29" s="201"/>
      <c r="C29" s="191"/>
      <c r="D29" s="192"/>
      <c r="E29" s="192"/>
      <c r="F29" s="192"/>
      <c r="G29" s="193"/>
      <c r="H29" s="18"/>
      <c r="I29" s="18"/>
      <c r="J29" s="197"/>
      <c r="K29" s="198"/>
      <c r="L29" s="198"/>
      <c r="M29" s="198"/>
      <c r="N29" s="199"/>
      <c r="O29" s="19"/>
      <c r="P29" s="19"/>
      <c r="Q29" s="202"/>
      <c r="R29" s="201"/>
      <c r="S29" s="202"/>
      <c r="T29" s="201"/>
      <c r="U29" s="196"/>
      <c r="V29" s="196"/>
      <c r="W29" s="196"/>
      <c r="X29" s="196"/>
      <c r="Y29" s="196"/>
      <c r="Z29" s="209"/>
      <c r="AA29" s="210"/>
      <c r="AB29" s="203"/>
      <c r="AC29" s="204"/>
      <c r="AD29" s="202"/>
      <c r="AE29" s="201"/>
      <c r="AF29" s="203"/>
      <c r="AG29" s="204"/>
      <c r="AH29" s="202"/>
      <c r="AI29" s="201"/>
      <c r="AJ29" s="202"/>
      <c r="AK29" s="208"/>
      <c r="AL29" s="208"/>
      <c r="AM29" s="208"/>
      <c r="AN29" s="201"/>
      <c r="AO29" s="202"/>
      <c r="AP29" s="201"/>
      <c r="AQ29" s="202"/>
      <c r="AR29" s="208"/>
      <c r="AS29" s="201"/>
      <c r="AT29" s="202"/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/>
      <c r="B30" s="201"/>
      <c r="C30" s="191"/>
      <c r="D30" s="192"/>
      <c r="E30" s="192"/>
      <c r="F30" s="192"/>
      <c r="G30" s="193"/>
      <c r="H30" s="18"/>
      <c r="I30" s="18"/>
      <c r="J30" s="197"/>
      <c r="K30" s="198"/>
      <c r="L30" s="198"/>
      <c r="M30" s="198"/>
      <c r="N30" s="199"/>
      <c r="O30" s="19"/>
      <c r="P30" s="19"/>
      <c r="Q30" s="202"/>
      <c r="R30" s="201"/>
      <c r="S30" s="202"/>
      <c r="T30" s="201"/>
      <c r="U30" s="196"/>
      <c r="V30" s="196"/>
      <c r="W30" s="196"/>
      <c r="X30" s="196"/>
      <c r="Y30" s="196"/>
      <c r="Z30" s="209"/>
      <c r="AA30" s="210"/>
      <c r="AB30" s="203"/>
      <c r="AC30" s="204"/>
      <c r="AD30" s="202"/>
      <c r="AE30" s="201"/>
      <c r="AF30" s="203"/>
      <c r="AG30" s="204"/>
      <c r="AH30" s="202"/>
      <c r="AI30" s="201"/>
      <c r="AJ30" s="202"/>
      <c r="AK30" s="208"/>
      <c r="AL30" s="208"/>
      <c r="AM30" s="208"/>
      <c r="AN30" s="201"/>
      <c r="AO30" s="202"/>
      <c r="AP30" s="201"/>
      <c r="AQ30" s="202"/>
      <c r="AR30" s="208"/>
      <c r="AS30" s="201"/>
      <c r="AT30" s="202"/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/>
      <c r="B31" s="201"/>
      <c r="C31" s="191"/>
      <c r="D31" s="192"/>
      <c r="E31" s="192"/>
      <c r="F31" s="192"/>
      <c r="G31" s="193"/>
      <c r="H31" s="18"/>
      <c r="I31" s="18"/>
      <c r="J31" s="197"/>
      <c r="K31" s="198"/>
      <c r="L31" s="198"/>
      <c r="M31" s="198"/>
      <c r="N31" s="199"/>
      <c r="O31" s="19"/>
      <c r="P31" s="19"/>
      <c r="Q31" s="202"/>
      <c r="R31" s="201"/>
      <c r="S31" s="202"/>
      <c r="T31" s="201"/>
      <c r="U31" s="196"/>
      <c r="V31" s="196"/>
      <c r="W31" s="196"/>
      <c r="X31" s="196"/>
      <c r="Y31" s="196"/>
      <c r="Z31" s="209"/>
      <c r="AA31" s="210"/>
      <c r="AB31" s="203"/>
      <c r="AC31" s="204"/>
      <c r="AD31" s="202"/>
      <c r="AE31" s="201"/>
      <c r="AF31" s="203"/>
      <c r="AG31" s="204"/>
      <c r="AH31" s="202"/>
      <c r="AI31" s="201"/>
      <c r="AJ31" s="202"/>
      <c r="AK31" s="208"/>
      <c r="AL31" s="208"/>
      <c r="AM31" s="208"/>
      <c r="AN31" s="201"/>
      <c r="AO31" s="202"/>
      <c r="AP31" s="201"/>
      <c r="AQ31" s="202"/>
      <c r="AR31" s="208"/>
      <c r="AS31" s="201"/>
      <c r="AT31" s="202"/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/>
      <c r="B32" s="201"/>
      <c r="C32" s="191"/>
      <c r="D32" s="192"/>
      <c r="E32" s="192"/>
      <c r="F32" s="192"/>
      <c r="G32" s="193"/>
      <c r="H32" s="18"/>
      <c r="I32" s="18"/>
      <c r="J32" s="197"/>
      <c r="K32" s="198"/>
      <c r="L32" s="198"/>
      <c r="M32" s="198"/>
      <c r="N32" s="199"/>
      <c r="O32" s="19"/>
      <c r="P32" s="19"/>
      <c r="Q32" s="202"/>
      <c r="R32" s="201"/>
      <c r="S32" s="202"/>
      <c r="T32" s="201"/>
      <c r="U32" s="196"/>
      <c r="V32" s="196"/>
      <c r="W32" s="196"/>
      <c r="X32" s="196"/>
      <c r="Y32" s="196"/>
      <c r="Z32" s="209"/>
      <c r="AA32" s="210"/>
      <c r="AB32" s="203"/>
      <c r="AC32" s="204"/>
      <c r="AD32" s="202"/>
      <c r="AE32" s="201"/>
      <c r="AF32" s="203"/>
      <c r="AG32" s="204"/>
      <c r="AH32" s="202"/>
      <c r="AI32" s="201"/>
      <c r="AJ32" s="202"/>
      <c r="AK32" s="208"/>
      <c r="AL32" s="208"/>
      <c r="AM32" s="208"/>
      <c r="AN32" s="201"/>
      <c r="AO32" s="202"/>
      <c r="AP32" s="201"/>
      <c r="AQ32" s="202"/>
      <c r="AR32" s="208"/>
      <c r="AS32" s="201"/>
      <c r="AT32" s="202"/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/>
      <c r="B33" s="195"/>
      <c r="C33" s="191"/>
      <c r="D33" s="192"/>
      <c r="E33" s="192"/>
      <c r="F33" s="192"/>
      <c r="G33" s="193"/>
      <c r="H33" s="18"/>
      <c r="I33" s="18"/>
      <c r="J33" s="194"/>
      <c r="K33" s="195"/>
      <c r="L33" s="195"/>
      <c r="M33" s="195"/>
      <c r="N33" s="195"/>
      <c r="O33" s="19"/>
      <c r="P33" s="19"/>
      <c r="Q33" s="195"/>
      <c r="R33" s="195"/>
      <c r="S33" s="195"/>
      <c r="T33" s="195"/>
      <c r="U33" s="196"/>
      <c r="V33" s="196"/>
      <c r="W33" s="196"/>
      <c r="X33" s="196"/>
      <c r="Y33" s="196"/>
      <c r="Z33" s="195"/>
      <c r="AA33" s="195"/>
      <c r="AB33" s="217"/>
      <c r="AC33" s="195"/>
      <c r="AD33" s="195"/>
      <c r="AE33" s="195"/>
      <c r="AF33" s="217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/>
      <c r="B34" s="195"/>
      <c r="C34" s="191"/>
      <c r="D34" s="192"/>
      <c r="E34" s="192"/>
      <c r="F34" s="192"/>
      <c r="G34" s="193"/>
      <c r="H34" s="18"/>
      <c r="I34" s="18"/>
      <c r="J34" s="194"/>
      <c r="K34" s="195"/>
      <c r="L34" s="195"/>
      <c r="M34" s="195"/>
      <c r="N34" s="195"/>
      <c r="O34" s="19"/>
      <c r="P34" s="19"/>
      <c r="Q34" s="195"/>
      <c r="R34" s="195"/>
      <c r="S34" s="195"/>
      <c r="T34" s="195"/>
      <c r="U34" s="196"/>
      <c r="V34" s="196"/>
      <c r="W34" s="196"/>
      <c r="X34" s="196"/>
      <c r="Y34" s="196"/>
      <c r="Z34" s="195"/>
      <c r="AA34" s="195"/>
      <c r="AB34" s="217"/>
      <c r="AC34" s="195"/>
      <c r="AD34" s="195"/>
      <c r="AE34" s="195"/>
      <c r="AF34" s="217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/>
      <c r="B35" s="195"/>
      <c r="C35" s="191"/>
      <c r="D35" s="192"/>
      <c r="E35" s="192"/>
      <c r="F35" s="192"/>
      <c r="G35" s="193"/>
      <c r="H35" s="18"/>
      <c r="I35" s="18"/>
      <c r="J35" s="194"/>
      <c r="K35" s="195"/>
      <c r="L35" s="195"/>
      <c r="M35" s="195"/>
      <c r="N35" s="195"/>
      <c r="O35" s="19"/>
      <c r="P35" s="19"/>
      <c r="Q35" s="195"/>
      <c r="R35" s="195"/>
      <c r="S35" s="195"/>
      <c r="T35" s="195"/>
      <c r="U35" s="196"/>
      <c r="V35" s="196"/>
      <c r="W35" s="196"/>
      <c r="X35" s="196"/>
      <c r="Y35" s="196"/>
      <c r="Z35" s="195"/>
      <c r="AA35" s="195"/>
      <c r="AB35" s="217"/>
      <c r="AC35" s="195"/>
      <c r="AD35" s="195"/>
      <c r="AE35" s="195"/>
      <c r="AF35" s="217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/>
      <c r="B36" s="195"/>
      <c r="C36" s="191"/>
      <c r="D36" s="192"/>
      <c r="E36" s="192"/>
      <c r="F36" s="192"/>
      <c r="G36" s="193"/>
      <c r="H36" s="18"/>
      <c r="I36" s="18"/>
      <c r="J36" s="194"/>
      <c r="K36" s="195"/>
      <c r="L36" s="195"/>
      <c r="M36" s="195"/>
      <c r="N36" s="195"/>
      <c r="O36" s="19"/>
      <c r="P36" s="19"/>
      <c r="Q36" s="195"/>
      <c r="R36" s="195"/>
      <c r="S36" s="195"/>
      <c r="T36" s="195"/>
      <c r="U36" s="209"/>
      <c r="V36" s="216"/>
      <c r="W36" s="216"/>
      <c r="X36" s="216"/>
      <c r="Y36" s="210"/>
      <c r="Z36" s="195"/>
      <c r="AA36" s="195"/>
      <c r="AB36" s="217"/>
      <c r="AC36" s="195"/>
      <c r="AD36" s="195"/>
      <c r="AE36" s="195"/>
      <c r="AF36" s="217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/>
      <c r="B37" s="195"/>
      <c r="C37" s="191"/>
      <c r="D37" s="192"/>
      <c r="E37" s="192"/>
      <c r="F37" s="192"/>
      <c r="G37" s="193"/>
      <c r="H37" s="18"/>
      <c r="I37" s="18"/>
      <c r="J37" s="194"/>
      <c r="K37" s="195"/>
      <c r="L37" s="195"/>
      <c r="M37" s="195"/>
      <c r="N37" s="195"/>
      <c r="O37" s="19"/>
      <c r="P37" s="19"/>
      <c r="Q37" s="195"/>
      <c r="R37" s="195"/>
      <c r="S37" s="195"/>
      <c r="T37" s="195"/>
      <c r="U37" s="209"/>
      <c r="V37" s="216"/>
      <c r="W37" s="216"/>
      <c r="X37" s="216"/>
      <c r="Y37" s="210"/>
      <c r="Z37" s="195"/>
      <c r="AA37" s="195"/>
      <c r="AB37" s="217"/>
      <c r="AC37" s="195"/>
      <c r="AD37" s="195"/>
      <c r="AE37" s="195"/>
      <c r="AF37" s="217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/>
      <c r="B38" s="195"/>
      <c r="C38" s="191"/>
      <c r="D38" s="192"/>
      <c r="E38" s="192"/>
      <c r="F38" s="192"/>
      <c r="G38" s="193"/>
      <c r="H38" s="18"/>
      <c r="I38" s="18"/>
      <c r="J38" s="202"/>
      <c r="K38" s="208"/>
      <c r="L38" s="208"/>
      <c r="M38" s="208"/>
      <c r="N38" s="201"/>
      <c r="O38" s="19"/>
      <c r="P38" s="19"/>
      <c r="Q38" s="195"/>
      <c r="R38" s="195"/>
      <c r="S38" s="202"/>
      <c r="T38" s="201"/>
      <c r="U38" s="209"/>
      <c r="V38" s="216"/>
      <c r="W38" s="216"/>
      <c r="X38" s="216"/>
      <c r="Y38" s="210"/>
      <c r="Z38" s="195"/>
      <c r="AA38" s="195"/>
      <c r="AB38" s="217"/>
      <c r="AC38" s="195"/>
      <c r="AD38" s="195"/>
      <c r="AE38" s="195"/>
      <c r="AF38" s="217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/>
      <c r="B39" s="195"/>
      <c r="C39" s="191"/>
      <c r="D39" s="192"/>
      <c r="E39" s="192"/>
      <c r="F39" s="192"/>
      <c r="G39" s="193"/>
      <c r="H39" s="18"/>
      <c r="I39" s="18"/>
      <c r="J39" s="202"/>
      <c r="K39" s="208"/>
      <c r="L39" s="208"/>
      <c r="M39" s="208"/>
      <c r="N39" s="201"/>
      <c r="O39" s="19"/>
      <c r="P39" s="19"/>
      <c r="Q39" s="195"/>
      <c r="R39" s="195"/>
      <c r="S39" s="202"/>
      <c r="T39" s="201"/>
      <c r="U39" s="209"/>
      <c r="V39" s="216"/>
      <c r="W39" s="216"/>
      <c r="X39" s="216"/>
      <c r="Y39" s="210"/>
      <c r="Z39" s="195"/>
      <c r="AA39" s="195"/>
      <c r="AB39" s="217"/>
      <c r="AC39" s="195"/>
      <c r="AD39" s="195"/>
      <c r="AE39" s="195"/>
      <c r="AF39" s="217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/>
      <c r="B40" s="201"/>
      <c r="C40" s="202"/>
      <c r="D40" s="208"/>
      <c r="E40" s="208"/>
      <c r="F40" s="208"/>
      <c r="G40" s="201"/>
      <c r="H40" s="18"/>
      <c r="I40" s="18"/>
      <c r="J40" s="202"/>
      <c r="K40" s="208"/>
      <c r="L40" s="208"/>
      <c r="M40" s="208"/>
      <c r="N40" s="201"/>
      <c r="O40" s="18"/>
      <c r="P40" s="18"/>
      <c r="Q40" s="202"/>
      <c r="R40" s="201"/>
      <c r="S40" s="202"/>
      <c r="T40" s="201"/>
      <c r="U40" s="209"/>
      <c r="V40" s="216"/>
      <c r="W40" s="216"/>
      <c r="X40" s="216"/>
      <c r="Y40" s="210"/>
      <c r="Z40" s="202"/>
      <c r="AA40" s="201"/>
      <c r="AB40" s="202"/>
      <c r="AC40" s="201"/>
      <c r="AD40" s="202"/>
      <c r="AE40" s="201"/>
      <c r="AF40" s="202"/>
      <c r="AG40" s="201"/>
      <c r="AH40" s="202"/>
      <c r="AI40" s="201"/>
      <c r="AJ40" s="202"/>
      <c r="AK40" s="208"/>
      <c r="AL40" s="208"/>
      <c r="AM40" s="208"/>
      <c r="AN40" s="201"/>
      <c r="AO40" s="202"/>
      <c r="AP40" s="201"/>
      <c r="AQ40" s="202"/>
      <c r="AR40" s="208"/>
      <c r="AS40" s="201"/>
      <c r="AT40" s="195"/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/>
      <c r="B41" s="201"/>
      <c r="C41" s="202"/>
      <c r="D41" s="208"/>
      <c r="E41" s="208"/>
      <c r="F41" s="208"/>
      <c r="G41" s="201"/>
      <c r="H41" s="18"/>
      <c r="I41" s="18"/>
      <c r="J41" s="202"/>
      <c r="K41" s="208"/>
      <c r="L41" s="208"/>
      <c r="M41" s="208"/>
      <c r="N41" s="201"/>
      <c r="O41" s="18"/>
      <c r="P41" s="18"/>
      <c r="Q41" s="202"/>
      <c r="R41" s="201"/>
      <c r="S41" s="202"/>
      <c r="T41" s="201"/>
      <c r="U41" s="209"/>
      <c r="V41" s="216"/>
      <c r="W41" s="216"/>
      <c r="X41" s="216"/>
      <c r="Y41" s="210"/>
      <c r="Z41" s="202"/>
      <c r="AA41" s="201"/>
      <c r="AB41" s="202"/>
      <c r="AC41" s="201"/>
      <c r="AD41" s="202"/>
      <c r="AE41" s="201"/>
      <c r="AF41" s="202"/>
      <c r="AG41" s="201"/>
      <c r="AH41" s="202"/>
      <c r="AI41" s="201"/>
      <c r="AJ41" s="202"/>
      <c r="AK41" s="208"/>
      <c r="AL41" s="208"/>
      <c r="AM41" s="208"/>
      <c r="AN41" s="201"/>
      <c r="AO41" s="202"/>
      <c r="AP41" s="201"/>
      <c r="AQ41" s="202"/>
      <c r="AR41" s="208"/>
      <c r="AS41" s="201"/>
      <c r="AT41" s="195"/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/>
      <c r="B42" s="201"/>
      <c r="C42" s="202"/>
      <c r="D42" s="208"/>
      <c r="E42" s="208"/>
      <c r="F42" s="208"/>
      <c r="G42" s="201"/>
      <c r="H42" s="18"/>
      <c r="I42" s="18"/>
      <c r="J42" s="202"/>
      <c r="K42" s="208"/>
      <c r="L42" s="208"/>
      <c r="M42" s="208"/>
      <c r="N42" s="201"/>
      <c r="O42" s="18"/>
      <c r="P42" s="18"/>
      <c r="Q42" s="202"/>
      <c r="R42" s="201"/>
      <c r="S42" s="202"/>
      <c r="T42" s="201"/>
      <c r="U42" s="209"/>
      <c r="V42" s="216"/>
      <c r="W42" s="216"/>
      <c r="X42" s="216"/>
      <c r="Y42" s="210"/>
      <c r="Z42" s="202"/>
      <c r="AA42" s="201"/>
      <c r="AB42" s="202"/>
      <c r="AC42" s="201"/>
      <c r="AD42" s="202"/>
      <c r="AE42" s="201"/>
      <c r="AF42" s="202"/>
      <c r="AG42" s="201"/>
      <c r="AH42" s="202"/>
      <c r="AI42" s="201"/>
      <c r="AJ42" s="202"/>
      <c r="AK42" s="208"/>
      <c r="AL42" s="208"/>
      <c r="AM42" s="208"/>
      <c r="AN42" s="201"/>
      <c r="AO42" s="202"/>
      <c r="AP42" s="201"/>
      <c r="AQ42" s="202"/>
      <c r="AR42" s="208"/>
      <c r="AS42" s="201"/>
      <c r="AT42" s="195"/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/>
      <c r="B43" s="201"/>
      <c r="C43" s="202"/>
      <c r="D43" s="208"/>
      <c r="E43" s="208"/>
      <c r="F43" s="208"/>
      <c r="G43" s="201"/>
      <c r="H43" s="18"/>
      <c r="I43" s="18"/>
      <c r="J43" s="202"/>
      <c r="K43" s="208"/>
      <c r="L43" s="208"/>
      <c r="M43" s="208"/>
      <c r="N43" s="201"/>
      <c r="O43" s="18"/>
      <c r="P43" s="18"/>
      <c r="Q43" s="202"/>
      <c r="R43" s="201"/>
      <c r="S43" s="202"/>
      <c r="T43" s="201"/>
      <c r="U43" s="209"/>
      <c r="V43" s="216"/>
      <c r="W43" s="216"/>
      <c r="X43" s="216"/>
      <c r="Y43" s="210"/>
      <c r="Z43" s="202"/>
      <c r="AA43" s="201"/>
      <c r="AB43" s="202"/>
      <c r="AC43" s="201"/>
      <c r="AD43" s="202"/>
      <c r="AE43" s="201"/>
      <c r="AF43" s="202"/>
      <c r="AG43" s="201"/>
      <c r="AH43" s="202"/>
      <c r="AI43" s="201"/>
      <c r="AJ43" s="202"/>
      <c r="AK43" s="208"/>
      <c r="AL43" s="208"/>
      <c r="AM43" s="208"/>
      <c r="AN43" s="201"/>
      <c r="AO43" s="202"/>
      <c r="AP43" s="201"/>
      <c r="AQ43" s="202"/>
      <c r="AR43" s="208"/>
      <c r="AS43" s="201"/>
      <c r="AT43" s="195"/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/>
      <c r="B44" s="201"/>
      <c r="C44" s="202"/>
      <c r="D44" s="208"/>
      <c r="E44" s="208"/>
      <c r="F44" s="208"/>
      <c r="G44" s="201"/>
      <c r="H44" s="18"/>
      <c r="I44" s="18"/>
      <c r="J44" s="202"/>
      <c r="K44" s="208"/>
      <c r="L44" s="208"/>
      <c r="M44" s="208"/>
      <c r="N44" s="201"/>
      <c r="O44" s="18"/>
      <c r="P44" s="18"/>
      <c r="Q44" s="202"/>
      <c r="R44" s="201"/>
      <c r="S44" s="202"/>
      <c r="T44" s="201"/>
      <c r="U44" s="209"/>
      <c r="V44" s="216"/>
      <c r="W44" s="216"/>
      <c r="X44" s="216"/>
      <c r="Y44" s="210"/>
      <c r="Z44" s="202"/>
      <c r="AA44" s="201"/>
      <c r="AB44" s="202"/>
      <c r="AC44" s="201"/>
      <c r="AD44" s="202"/>
      <c r="AE44" s="201"/>
      <c r="AF44" s="202"/>
      <c r="AG44" s="201"/>
      <c r="AH44" s="202"/>
      <c r="AI44" s="201"/>
      <c r="AJ44" s="202"/>
      <c r="AK44" s="208"/>
      <c r="AL44" s="208"/>
      <c r="AM44" s="208"/>
      <c r="AN44" s="201"/>
      <c r="AO44" s="202"/>
      <c r="AP44" s="201"/>
      <c r="AQ44" s="202"/>
      <c r="AR44" s="208"/>
      <c r="AS44" s="201"/>
      <c r="AT44" s="195"/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/>
      <c r="B45" s="201"/>
      <c r="C45" s="202"/>
      <c r="D45" s="208"/>
      <c r="E45" s="208"/>
      <c r="F45" s="208"/>
      <c r="G45" s="201"/>
      <c r="H45" s="18"/>
      <c r="I45" s="18"/>
      <c r="J45" s="202"/>
      <c r="K45" s="208"/>
      <c r="L45" s="208"/>
      <c r="M45" s="208"/>
      <c r="N45" s="201"/>
      <c r="O45" s="18"/>
      <c r="P45" s="18"/>
      <c r="Q45" s="202"/>
      <c r="R45" s="201"/>
      <c r="S45" s="202"/>
      <c r="T45" s="201"/>
      <c r="U45" s="209"/>
      <c r="V45" s="216"/>
      <c r="W45" s="216"/>
      <c r="X45" s="216"/>
      <c r="Y45" s="210"/>
      <c r="Z45" s="202"/>
      <c r="AA45" s="201"/>
      <c r="AB45" s="202"/>
      <c r="AC45" s="201"/>
      <c r="AD45" s="202"/>
      <c r="AE45" s="201"/>
      <c r="AF45" s="202"/>
      <c r="AG45" s="201"/>
      <c r="AH45" s="202"/>
      <c r="AI45" s="201"/>
      <c r="AJ45" s="202"/>
      <c r="AK45" s="208"/>
      <c r="AL45" s="208"/>
      <c r="AM45" s="208"/>
      <c r="AN45" s="201"/>
      <c r="AO45" s="202"/>
      <c r="AP45" s="201"/>
      <c r="AQ45" s="202"/>
      <c r="AR45" s="208"/>
      <c r="AS45" s="201"/>
      <c r="AT45" s="195"/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/>
      <c r="B46" s="201"/>
      <c r="C46" s="202"/>
      <c r="D46" s="208"/>
      <c r="E46" s="208"/>
      <c r="F46" s="208"/>
      <c r="G46" s="201"/>
      <c r="H46" s="18"/>
      <c r="I46" s="18"/>
      <c r="J46" s="202"/>
      <c r="K46" s="208"/>
      <c r="L46" s="208"/>
      <c r="M46" s="208"/>
      <c r="N46" s="201"/>
      <c r="O46" s="18"/>
      <c r="P46" s="18"/>
      <c r="Q46" s="202"/>
      <c r="R46" s="201"/>
      <c r="S46" s="202"/>
      <c r="T46" s="201"/>
      <c r="U46" s="209"/>
      <c r="V46" s="216"/>
      <c r="W46" s="216"/>
      <c r="X46" s="216"/>
      <c r="Y46" s="210"/>
      <c r="Z46" s="202"/>
      <c r="AA46" s="201"/>
      <c r="AB46" s="202"/>
      <c r="AC46" s="201"/>
      <c r="AD46" s="202"/>
      <c r="AE46" s="201"/>
      <c r="AF46" s="202"/>
      <c r="AG46" s="201"/>
      <c r="AH46" s="202"/>
      <c r="AI46" s="201"/>
      <c r="AJ46" s="202"/>
      <c r="AK46" s="208"/>
      <c r="AL46" s="208"/>
      <c r="AM46" s="208"/>
      <c r="AN46" s="201"/>
      <c r="AO46" s="202"/>
      <c r="AP46" s="201"/>
      <c r="AQ46" s="202"/>
      <c r="AR46" s="208"/>
      <c r="AS46" s="201"/>
      <c r="AT46" s="195"/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/>
      <c r="B47" s="201"/>
      <c r="C47" s="202"/>
      <c r="D47" s="208"/>
      <c r="E47" s="208"/>
      <c r="F47" s="208"/>
      <c r="G47" s="201"/>
      <c r="H47" s="18"/>
      <c r="I47" s="18"/>
      <c r="J47" s="202"/>
      <c r="K47" s="208"/>
      <c r="L47" s="208"/>
      <c r="M47" s="208"/>
      <c r="N47" s="201"/>
      <c r="O47" s="18"/>
      <c r="P47" s="18"/>
      <c r="Q47" s="202"/>
      <c r="R47" s="201"/>
      <c r="S47" s="202"/>
      <c r="T47" s="201"/>
      <c r="U47" s="209"/>
      <c r="V47" s="216"/>
      <c r="W47" s="216"/>
      <c r="X47" s="216"/>
      <c r="Y47" s="210"/>
      <c r="Z47" s="202"/>
      <c r="AA47" s="201"/>
      <c r="AB47" s="202"/>
      <c r="AC47" s="201"/>
      <c r="AD47" s="202"/>
      <c r="AE47" s="201"/>
      <c r="AF47" s="202"/>
      <c r="AG47" s="201"/>
      <c r="AH47" s="202"/>
      <c r="AI47" s="201"/>
      <c r="AJ47" s="202"/>
      <c r="AK47" s="208"/>
      <c r="AL47" s="208"/>
      <c r="AM47" s="208"/>
      <c r="AN47" s="201"/>
      <c r="AO47" s="202"/>
      <c r="AP47" s="201"/>
      <c r="AQ47" s="202"/>
      <c r="AR47" s="208"/>
      <c r="AS47" s="201"/>
      <c r="AT47" s="195"/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/>
      <c r="B48" s="201"/>
      <c r="C48" s="202"/>
      <c r="D48" s="208"/>
      <c r="E48" s="208"/>
      <c r="F48" s="208"/>
      <c r="G48" s="201"/>
      <c r="H48" s="18"/>
      <c r="I48" s="18"/>
      <c r="J48" s="202"/>
      <c r="K48" s="208"/>
      <c r="L48" s="208"/>
      <c r="M48" s="208"/>
      <c r="N48" s="201"/>
      <c r="O48" s="18"/>
      <c r="P48" s="18"/>
      <c r="Q48" s="202"/>
      <c r="R48" s="201"/>
      <c r="S48" s="202"/>
      <c r="T48" s="201"/>
      <c r="U48" s="209"/>
      <c r="V48" s="216"/>
      <c r="W48" s="216"/>
      <c r="X48" s="216"/>
      <c r="Y48" s="210"/>
      <c r="Z48" s="202"/>
      <c r="AA48" s="201"/>
      <c r="AB48" s="202"/>
      <c r="AC48" s="201"/>
      <c r="AD48" s="202"/>
      <c r="AE48" s="201"/>
      <c r="AF48" s="202"/>
      <c r="AG48" s="201"/>
      <c r="AH48" s="202"/>
      <c r="AI48" s="201"/>
      <c r="AJ48" s="202"/>
      <c r="AK48" s="208"/>
      <c r="AL48" s="208"/>
      <c r="AM48" s="208"/>
      <c r="AN48" s="201"/>
      <c r="AO48" s="202"/>
      <c r="AP48" s="201"/>
      <c r="AQ48" s="202"/>
      <c r="AR48" s="208"/>
      <c r="AS48" s="201"/>
      <c r="AT48" s="220"/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 t="s">
        <v>73</v>
      </c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 t="s">
        <v>193</v>
      </c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70" zoomScaleNormal="70" zoomScaleSheetLayoutView="70" workbookViewId="0">
      <selection activeCell="G16" sqref="G16:H1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tr">
        <f>Sheet1!H$10</f>
        <v>CT9-AC-MD-1.1-MBH02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6" t="s">
        <v>168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21.6" customHeight="1" thickBot="1" x14ac:dyDescent="0.3">
      <c r="A14" s="145"/>
      <c r="B14" s="145"/>
      <c r="C14" s="145"/>
      <c r="D14" s="146"/>
      <c r="E14" s="146"/>
      <c r="F14" s="146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6"/>
      <c r="E15" s="146"/>
      <c r="F15" s="146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35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169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3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77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79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80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4.2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4.2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4.2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4.2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4.2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4.2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170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5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81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171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AQ53" sqref="AQ53:AX5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86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301"/>
      <c r="AR7" s="301"/>
      <c r="AS7" s="301"/>
      <c r="AT7" s="301"/>
      <c r="AU7" s="301"/>
      <c r="AV7" s="301"/>
      <c r="AW7" s="301"/>
      <c r="AX7" s="302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82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85</v>
      </c>
      <c r="AI11" s="309"/>
      <c r="AJ11" s="309"/>
      <c r="AK11" s="309"/>
      <c r="AL11" s="309"/>
      <c r="AM11" s="310"/>
      <c r="AN11" s="306" t="str">
        <f>Sheet1!H10</f>
        <v>CT9-AC-MD-1.1-MBH02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83</v>
      </c>
      <c r="B14" s="271"/>
      <c r="C14" s="271"/>
      <c r="D14" s="271"/>
      <c r="E14" s="271"/>
      <c r="F14" s="271"/>
      <c r="G14" s="271"/>
      <c r="H14" s="285"/>
      <c r="I14" s="271" t="str">
        <f>Sheet1!H$13</f>
        <v xml:space="preserve">CT9  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90</v>
      </c>
      <c r="AI14" s="271"/>
      <c r="AJ14" s="271"/>
      <c r="AK14" s="271"/>
      <c r="AL14" s="271"/>
      <c r="AM14" s="285"/>
      <c r="AN14" s="291" t="s">
        <v>209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84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91</v>
      </c>
      <c r="AI17" s="271"/>
      <c r="AJ17" s="271"/>
      <c r="AK17" s="271"/>
      <c r="AL17" s="271"/>
      <c r="AM17" s="285"/>
      <c r="AN17" s="303">
        <v>46028</v>
      </c>
      <c r="AO17" s="303"/>
      <c r="AP17" s="303"/>
      <c r="AQ17" s="303"/>
      <c r="AR17" s="303"/>
      <c r="AS17" s="303"/>
      <c r="AT17" s="303"/>
      <c r="AU17" s="303"/>
      <c r="AV17" s="303"/>
      <c r="AW17" s="303"/>
      <c r="AX17" s="304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4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4"/>
    </row>
    <row r="20" spans="1:16384" ht="15" customHeight="1" thickBot="1" x14ac:dyDescent="0.3">
      <c r="A20" s="284" t="s">
        <v>87</v>
      </c>
      <c r="B20" s="271"/>
      <c r="C20" s="271"/>
      <c r="D20" s="271"/>
      <c r="E20" s="271"/>
      <c r="F20" s="271"/>
      <c r="G20" s="271"/>
      <c r="H20" s="285"/>
      <c r="I20" s="305" t="str">
        <f>Sheet2!J13</f>
        <v>MD-1.1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92</v>
      </c>
      <c r="AI20" s="271"/>
      <c r="AJ20" s="271"/>
      <c r="AK20" s="271"/>
      <c r="AL20" s="271"/>
      <c r="AM20" s="285"/>
      <c r="AN20" s="291" t="s">
        <v>210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88</v>
      </c>
      <c r="B23" s="271"/>
      <c r="C23" s="271"/>
      <c r="D23" s="271"/>
      <c r="E23" s="271"/>
      <c r="F23" s="271"/>
      <c r="G23" s="271"/>
      <c r="H23" s="285"/>
      <c r="I23" s="271" t="str">
        <f>Sheet1!H$10</f>
        <v>CT9-AC-MD-1.1-MBH02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93</v>
      </c>
      <c r="AI23" s="271"/>
      <c r="AJ23" s="271"/>
      <c r="AK23" s="271"/>
      <c r="AL23" s="271"/>
      <c r="AM23" s="285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2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2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2"/>
    </row>
    <row r="26" spans="1:16384" ht="15" customHeight="1" thickBot="1" x14ac:dyDescent="0.3">
      <c r="A26" s="284" t="s">
        <v>89</v>
      </c>
      <c r="B26" s="271"/>
      <c r="C26" s="271"/>
      <c r="D26" s="271"/>
      <c r="E26" s="271"/>
      <c r="F26" s="271"/>
      <c r="G26" s="271"/>
      <c r="H26" s="285"/>
      <c r="I26" s="289" t="s">
        <v>95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71" t="s">
        <v>94</v>
      </c>
      <c r="AI26" s="271"/>
      <c r="AJ26" s="271"/>
      <c r="AK26" s="271"/>
      <c r="AL26" s="271"/>
      <c r="AM26" s="285"/>
      <c r="AN26" s="291" t="s">
        <v>230</v>
      </c>
      <c r="AO26" s="291"/>
      <c r="AP26" s="291"/>
      <c r="AQ26" s="291"/>
      <c r="AR26" s="291"/>
      <c r="AS26" s="291"/>
      <c r="AT26" s="291"/>
      <c r="AU26" s="291"/>
      <c r="AV26" s="291"/>
      <c r="AW26" s="291"/>
      <c r="AX26" s="292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71"/>
      <c r="AI27" s="271"/>
      <c r="AJ27" s="271"/>
      <c r="AK27" s="271"/>
      <c r="AL27" s="271"/>
      <c r="AM27" s="285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2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4"/>
    </row>
    <row r="29" spans="1:16384" ht="15" customHeight="1" thickTop="1" thickBot="1" x14ac:dyDescent="0.3">
      <c r="A29" s="324" t="s">
        <v>96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 t="s">
        <v>97</v>
      </c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325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8"/>
    </row>
    <row r="32" spans="1:16384" ht="15" customHeight="1" thickTop="1" thickBot="1" x14ac:dyDescent="0.3">
      <c r="A32" s="324" t="s">
        <v>98</v>
      </c>
      <c r="B32" s="277"/>
      <c r="C32" s="277"/>
      <c r="D32" s="277" t="s">
        <v>99</v>
      </c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 t="s">
        <v>100</v>
      </c>
      <c r="S32" s="277"/>
      <c r="T32" s="277"/>
      <c r="U32" s="277" t="s">
        <v>98</v>
      </c>
      <c r="V32" s="277"/>
      <c r="W32" s="277"/>
      <c r="X32" s="277" t="s">
        <v>102</v>
      </c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 t="s">
        <v>100</v>
      </c>
      <c r="AO32" s="277"/>
      <c r="AP32" s="277"/>
      <c r="AQ32" s="277" t="s">
        <v>103</v>
      </c>
      <c r="AR32" s="277"/>
      <c r="AS32" s="277"/>
      <c r="AT32" s="277"/>
      <c r="AU32" s="277"/>
      <c r="AV32" s="277"/>
      <c r="AW32" s="277"/>
      <c r="AX32" s="327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259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70"/>
    </row>
    <row r="35" spans="1:50" ht="15" customHeight="1" thickBot="1" x14ac:dyDescent="0.3">
      <c r="A35" s="259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 t="s">
        <v>41</v>
      </c>
      <c r="S35" s="195" t="s">
        <v>101</v>
      </c>
      <c r="T35" s="195" t="s">
        <v>42</v>
      </c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 t="s">
        <v>41</v>
      </c>
      <c r="AO35" s="195" t="s">
        <v>101</v>
      </c>
      <c r="AP35" s="195" t="s">
        <v>42</v>
      </c>
      <c r="AQ35" s="195"/>
      <c r="AR35" s="195"/>
      <c r="AS35" s="195"/>
      <c r="AT35" s="195"/>
      <c r="AU35" s="195"/>
      <c r="AV35" s="195"/>
      <c r="AW35" s="195"/>
      <c r="AX35" s="270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325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8"/>
    </row>
    <row r="38" spans="1:50" ht="15" customHeight="1" thickTop="1" thickBot="1" x14ac:dyDescent="0.3">
      <c r="A38" s="330">
        <v>1</v>
      </c>
      <c r="B38" s="276"/>
      <c r="C38" s="276"/>
      <c r="D38" s="309" t="s">
        <v>104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275" t="s">
        <v>211</v>
      </c>
      <c r="S38" s="276"/>
      <c r="T38" s="276"/>
      <c r="U38" s="276">
        <v>1</v>
      </c>
      <c r="V38" s="276"/>
      <c r="W38" s="276"/>
      <c r="X38" s="309" t="s">
        <v>105</v>
      </c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276"/>
      <c r="AO38" s="276"/>
      <c r="AP38" s="275" t="s">
        <v>211</v>
      </c>
      <c r="AQ38" s="276"/>
      <c r="AR38" s="276"/>
      <c r="AS38" s="276"/>
      <c r="AT38" s="276"/>
      <c r="AU38" s="276"/>
      <c r="AV38" s="276"/>
      <c r="AW38" s="276"/>
      <c r="AX38" s="329"/>
    </row>
    <row r="39" spans="1:50" ht="15" customHeight="1" thickBot="1" x14ac:dyDescent="0.3">
      <c r="A39" s="259"/>
      <c r="B39" s="195"/>
      <c r="C39" s="195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195"/>
      <c r="S39" s="195"/>
      <c r="T39" s="195"/>
      <c r="U39" s="195"/>
      <c r="V39" s="195"/>
      <c r="W39" s="195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195"/>
      <c r="S40" s="195"/>
      <c r="T40" s="195"/>
      <c r="U40" s="195"/>
      <c r="V40" s="195"/>
      <c r="W40" s="195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>
        <v>2</v>
      </c>
      <c r="B41" s="195"/>
      <c r="C41" s="195"/>
      <c r="D41" s="271" t="s">
        <v>106</v>
      </c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5" t="s">
        <v>211</v>
      </c>
      <c r="S41" s="195"/>
      <c r="T41" s="195"/>
      <c r="U41" s="195">
        <v>2</v>
      </c>
      <c r="V41" s="195"/>
      <c r="W41" s="195"/>
      <c r="X41" s="271" t="s">
        <v>122</v>
      </c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5" t="s">
        <v>211</v>
      </c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195"/>
      <c r="S42" s="195"/>
      <c r="T42" s="195"/>
      <c r="U42" s="195"/>
      <c r="V42" s="195"/>
      <c r="W42" s="195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195"/>
      <c r="S43" s="195"/>
      <c r="T43" s="195"/>
      <c r="U43" s="195"/>
      <c r="V43" s="195"/>
      <c r="W43" s="195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>
        <v>3</v>
      </c>
      <c r="B44" s="195"/>
      <c r="C44" s="195"/>
      <c r="D44" s="271" t="s">
        <v>107</v>
      </c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195"/>
      <c r="S44" s="195"/>
      <c r="T44" s="275" t="s">
        <v>211</v>
      </c>
      <c r="U44" s="195">
        <v>3</v>
      </c>
      <c r="V44" s="195"/>
      <c r="W44" s="195"/>
      <c r="X44" s="271" t="s">
        <v>123</v>
      </c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5" t="s">
        <v>211</v>
      </c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195"/>
      <c r="S45" s="195"/>
      <c r="T45" s="195"/>
      <c r="U45" s="195"/>
      <c r="V45" s="195"/>
      <c r="W45" s="195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195"/>
      <c r="S46" s="195"/>
      <c r="T46" s="195"/>
      <c r="U46" s="195"/>
      <c r="V46" s="195"/>
      <c r="W46" s="195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>
        <v>4</v>
      </c>
      <c r="B47" s="195"/>
      <c r="C47" s="195"/>
      <c r="D47" s="271" t="s">
        <v>108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195"/>
      <c r="S47" s="195"/>
      <c r="T47" s="275" t="s">
        <v>211</v>
      </c>
      <c r="U47" s="195">
        <v>4</v>
      </c>
      <c r="V47" s="195"/>
      <c r="W47" s="195"/>
      <c r="X47" s="271" t="s">
        <v>124</v>
      </c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5" t="s">
        <v>211</v>
      </c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195"/>
      <c r="S48" s="195"/>
      <c r="T48" s="195"/>
      <c r="U48" s="195"/>
      <c r="V48" s="195"/>
      <c r="W48" s="195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195"/>
      <c r="S49" s="195"/>
      <c r="T49" s="195"/>
      <c r="U49" s="195"/>
      <c r="V49" s="195"/>
      <c r="W49" s="195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>
        <v>5</v>
      </c>
      <c r="B50" s="195"/>
      <c r="C50" s="195"/>
      <c r="D50" s="271" t="s">
        <v>109</v>
      </c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5" t="s">
        <v>211</v>
      </c>
      <c r="S50" s="195"/>
      <c r="T50" s="195"/>
      <c r="U50" s="195">
        <v>5</v>
      </c>
      <c r="V50" s="195"/>
      <c r="W50" s="195"/>
      <c r="X50" s="271" t="s">
        <v>125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5" t="s">
        <v>211</v>
      </c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195"/>
      <c r="S51" s="195"/>
      <c r="T51" s="195"/>
      <c r="U51" s="195"/>
      <c r="V51" s="195"/>
      <c r="W51" s="195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195"/>
      <c r="S52" s="195"/>
      <c r="T52" s="195"/>
      <c r="U52" s="195"/>
      <c r="V52" s="195"/>
      <c r="W52" s="195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>
        <v>6</v>
      </c>
      <c r="B53" s="195"/>
      <c r="C53" s="195"/>
      <c r="D53" s="271" t="s">
        <v>110</v>
      </c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5" t="s">
        <v>211</v>
      </c>
      <c r="S53" s="195"/>
      <c r="T53" s="195"/>
      <c r="U53" s="195">
        <v>6</v>
      </c>
      <c r="V53" s="195"/>
      <c r="W53" s="195"/>
      <c r="X53" s="271" t="s">
        <v>126</v>
      </c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5" t="s">
        <v>211</v>
      </c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195"/>
      <c r="S54" s="195"/>
      <c r="T54" s="195"/>
      <c r="U54" s="195"/>
      <c r="V54" s="195"/>
      <c r="W54" s="195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195"/>
      <c r="S55" s="195"/>
      <c r="T55" s="195"/>
      <c r="U55" s="195"/>
      <c r="V55" s="195"/>
      <c r="W55" s="195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>
        <v>7</v>
      </c>
      <c r="B56" s="195"/>
      <c r="C56" s="195"/>
      <c r="D56" s="271" t="s">
        <v>111</v>
      </c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5"/>
      <c r="S56" s="195"/>
      <c r="T56" s="275" t="s">
        <v>211</v>
      </c>
      <c r="U56" s="195">
        <v>7</v>
      </c>
      <c r="V56" s="195"/>
      <c r="W56" s="195"/>
      <c r="X56" s="271" t="s">
        <v>127</v>
      </c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195"/>
      <c r="AO56" s="195"/>
      <c r="AP56" s="275" t="s">
        <v>211</v>
      </c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195"/>
      <c r="S57" s="195"/>
      <c r="T57" s="195"/>
      <c r="U57" s="195"/>
      <c r="V57" s="195"/>
      <c r="W57" s="195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195"/>
      <c r="S58" s="195"/>
      <c r="T58" s="195"/>
      <c r="U58" s="195"/>
      <c r="V58" s="195"/>
      <c r="W58" s="195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>
        <v>8</v>
      </c>
      <c r="B59" s="195"/>
      <c r="C59" s="195"/>
      <c r="D59" s="271" t="s">
        <v>112</v>
      </c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5" t="s">
        <v>211</v>
      </c>
      <c r="S59" s="195"/>
      <c r="T59" s="195"/>
      <c r="U59" s="195">
        <v>8</v>
      </c>
      <c r="V59" s="195"/>
      <c r="W59" s="195"/>
      <c r="X59" s="271" t="s">
        <v>128</v>
      </c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5" t="s">
        <v>211</v>
      </c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195"/>
      <c r="S60" s="195"/>
      <c r="T60" s="195"/>
      <c r="U60" s="195"/>
      <c r="V60" s="195"/>
      <c r="W60" s="195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195"/>
      <c r="S61" s="195"/>
      <c r="T61" s="195"/>
      <c r="U61" s="195"/>
      <c r="V61" s="195"/>
      <c r="W61" s="195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>
        <v>9</v>
      </c>
      <c r="B62" s="195"/>
      <c r="C62" s="195"/>
      <c r="D62" s="271" t="s">
        <v>115</v>
      </c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195"/>
      <c r="S62" s="195"/>
      <c r="T62" s="275" t="s">
        <v>211</v>
      </c>
      <c r="U62" s="195">
        <v>9</v>
      </c>
      <c r="V62" s="195"/>
      <c r="W62" s="195"/>
      <c r="X62" s="271" t="s">
        <v>129</v>
      </c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5" t="s">
        <v>211</v>
      </c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195"/>
      <c r="S63" s="195"/>
      <c r="T63" s="195"/>
      <c r="U63" s="195"/>
      <c r="V63" s="195"/>
      <c r="W63" s="195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195"/>
      <c r="S64" s="195"/>
      <c r="T64" s="195"/>
      <c r="U64" s="195"/>
      <c r="V64" s="195"/>
      <c r="W64" s="195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>
        <v>10</v>
      </c>
      <c r="B65" s="195"/>
      <c r="C65" s="195"/>
      <c r="D65" s="271" t="s">
        <v>113</v>
      </c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195"/>
      <c r="S65" s="195"/>
      <c r="T65" s="275" t="s">
        <v>211</v>
      </c>
      <c r="U65" s="195">
        <v>10</v>
      </c>
      <c r="V65" s="195"/>
      <c r="W65" s="195"/>
      <c r="X65" s="271" t="s">
        <v>130</v>
      </c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5" t="s">
        <v>211</v>
      </c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195"/>
      <c r="S66" s="195"/>
      <c r="T66" s="195"/>
      <c r="U66" s="195"/>
      <c r="V66" s="195"/>
      <c r="W66" s="195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195"/>
      <c r="S67" s="195"/>
      <c r="T67" s="195"/>
      <c r="U67" s="195"/>
      <c r="V67" s="195"/>
      <c r="W67" s="195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>
        <v>11</v>
      </c>
      <c r="B68" s="195"/>
      <c r="C68" s="195"/>
      <c r="D68" s="271" t="s">
        <v>114</v>
      </c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195"/>
      <c r="S68" s="195"/>
      <c r="T68" s="275" t="s">
        <v>211</v>
      </c>
      <c r="U68" s="195">
        <v>11</v>
      </c>
      <c r="V68" s="195"/>
      <c r="W68" s="195"/>
      <c r="X68" s="271" t="s">
        <v>131</v>
      </c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195"/>
      <c r="AO68" s="195"/>
      <c r="AP68" s="275" t="s">
        <v>211</v>
      </c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195"/>
      <c r="S69" s="195"/>
      <c r="T69" s="195"/>
      <c r="U69" s="195"/>
      <c r="V69" s="195"/>
      <c r="W69" s="195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195"/>
      <c r="S70" s="195"/>
      <c r="T70" s="195"/>
      <c r="U70" s="195"/>
      <c r="V70" s="195"/>
      <c r="W70" s="195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>
        <v>12</v>
      </c>
      <c r="B71" s="195"/>
      <c r="C71" s="195"/>
      <c r="D71" s="271" t="s">
        <v>116</v>
      </c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5" t="s">
        <v>211</v>
      </c>
      <c r="S71" s="195"/>
      <c r="T71" s="195"/>
      <c r="U71" s="195">
        <v>12</v>
      </c>
      <c r="V71" s="195"/>
      <c r="W71" s="195"/>
      <c r="X71" s="271" t="s">
        <v>133</v>
      </c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5" t="s">
        <v>211</v>
      </c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195"/>
      <c r="S72" s="195"/>
      <c r="T72" s="195"/>
      <c r="U72" s="195"/>
      <c r="V72" s="195"/>
      <c r="W72" s="195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195"/>
      <c r="S73" s="195"/>
      <c r="T73" s="195"/>
      <c r="U73" s="195"/>
      <c r="V73" s="195"/>
      <c r="W73" s="195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>
        <v>13</v>
      </c>
      <c r="B74" s="195"/>
      <c r="C74" s="195"/>
      <c r="D74" s="271" t="s">
        <v>117</v>
      </c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195"/>
      <c r="S74" s="195"/>
      <c r="T74" s="275" t="s">
        <v>211</v>
      </c>
      <c r="U74" s="195">
        <v>13</v>
      </c>
      <c r="V74" s="195"/>
      <c r="W74" s="195"/>
      <c r="X74" s="271" t="s">
        <v>132</v>
      </c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5" t="s">
        <v>211</v>
      </c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195"/>
      <c r="S75" s="195"/>
      <c r="T75" s="195"/>
      <c r="U75" s="195"/>
      <c r="V75" s="195"/>
      <c r="W75" s="195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195"/>
      <c r="S76" s="195"/>
      <c r="T76" s="195"/>
      <c r="U76" s="195"/>
      <c r="V76" s="195"/>
      <c r="W76" s="195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>
        <v>14</v>
      </c>
      <c r="B77" s="195"/>
      <c r="C77" s="195"/>
      <c r="D77" s="271" t="s">
        <v>118</v>
      </c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5" t="s">
        <v>211</v>
      </c>
      <c r="S77" s="195"/>
      <c r="T77" s="195"/>
      <c r="U77" s="195"/>
      <c r="V77" s="195"/>
      <c r="W77" s="195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195"/>
      <c r="S78" s="195"/>
      <c r="T78" s="195"/>
      <c r="U78" s="195"/>
      <c r="V78" s="195"/>
      <c r="W78" s="195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195"/>
      <c r="S79" s="195"/>
      <c r="T79" s="195"/>
      <c r="U79" s="195"/>
      <c r="V79" s="195"/>
      <c r="W79" s="195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>
        <v>15</v>
      </c>
      <c r="B80" s="195"/>
      <c r="C80" s="195"/>
      <c r="D80" s="271" t="s">
        <v>119</v>
      </c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195"/>
      <c r="S80" s="195"/>
      <c r="T80" s="275" t="s">
        <v>211</v>
      </c>
      <c r="U80" s="195"/>
      <c r="V80" s="195"/>
      <c r="W80" s="195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195"/>
      <c r="S81" s="195"/>
      <c r="T81" s="195"/>
      <c r="U81" s="195"/>
      <c r="V81" s="195"/>
      <c r="W81" s="195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195"/>
      <c r="S82" s="195"/>
      <c r="T82" s="195"/>
      <c r="U82" s="195"/>
      <c r="V82" s="195"/>
      <c r="W82" s="195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>
        <v>16</v>
      </c>
      <c r="B83" s="195"/>
      <c r="C83" s="195"/>
      <c r="D83" s="271" t="s">
        <v>120</v>
      </c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195"/>
      <c r="S83" s="195"/>
      <c r="T83" s="275" t="s">
        <v>211</v>
      </c>
      <c r="U83" s="195"/>
      <c r="V83" s="195"/>
      <c r="W83" s="195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195"/>
      <c r="S84" s="195"/>
      <c r="T84" s="195"/>
      <c r="U84" s="195"/>
      <c r="V84" s="195"/>
      <c r="W84" s="195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195"/>
      <c r="S85" s="195"/>
      <c r="T85" s="195"/>
      <c r="U85" s="195"/>
      <c r="V85" s="195"/>
      <c r="W85" s="195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>
        <v>17</v>
      </c>
      <c r="B86" s="195"/>
      <c r="C86" s="195"/>
      <c r="D86" s="271" t="s">
        <v>121</v>
      </c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195"/>
      <c r="S86" s="195"/>
      <c r="T86" s="275" t="s">
        <v>211</v>
      </c>
      <c r="U86" s="195"/>
      <c r="V86" s="195"/>
      <c r="W86" s="195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195"/>
      <c r="S87" s="195"/>
      <c r="T87" s="195"/>
      <c r="U87" s="195"/>
      <c r="V87" s="195"/>
      <c r="W87" s="195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195"/>
      <c r="S88" s="195"/>
      <c r="T88" s="195"/>
      <c r="U88" s="195"/>
      <c r="V88" s="195"/>
      <c r="W88" s="195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195"/>
      <c r="S89" s="195"/>
      <c r="T89" s="195"/>
      <c r="U89" s="195"/>
      <c r="V89" s="195"/>
      <c r="W89" s="195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195"/>
      <c r="S90" s="195"/>
      <c r="T90" s="195"/>
      <c r="U90" s="195"/>
      <c r="V90" s="195"/>
      <c r="W90" s="195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195"/>
      <c r="S91" s="195"/>
      <c r="T91" s="195"/>
      <c r="U91" s="195"/>
      <c r="V91" s="195"/>
      <c r="W91" s="195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323" t="s">
        <v>134</v>
      </c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308"/>
    </row>
    <row r="93" spans="1:50" ht="15" customHeight="1" thickBot="1" x14ac:dyDescent="0.3">
      <c r="A93" s="284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308"/>
    </row>
    <row r="94" spans="1:50" ht="16.95" customHeight="1" thickBot="1" x14ac:dyDescent="0.3">
      <c r="A94" s="284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308"/>
    </row>
    <row r="95" spans="1:50" ht="33" customHeight="1" thickBot="1" x14ac:dyDescent="0.3">
      <c r="A95" s="320" t="s">
        <v>177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  <c r="AW95" s="321"/>
      <c r="AX95" s="322"/>
    </row>
    <row r="96" spans="1:50" ht="33" customHeight="1" thickBot="1" x14ac:dyDescent="0.3">
      <c r="A96" s="320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2"/>
    </row>
    <row r="97" spans="1:50" ht="33" customHeight="1" thickBot="1" x14ac:dyDescent="0.3">
      <c r="A97" s="320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  <c r="AW97" s="321"/>
      <c r="AX97" s="322"/>
    </row>
    <row r="98" spans="1:50" s="15" customFormat="1" ht="15" customHeight="1" thickBot="1" x14ac:dyDescent="0.55000000000000004">
      <c r="A98" s="258" t="s">
        <v>187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6" t="s">
        <v>178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6" t="s">
        <v>179</v>
      </c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 t="s">
        <v>180</v>
      </c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260"/>
    </row>
    <row r="99" spans="1:50" s="15" customFormat="1" ht="15" customHeight="1" thickBot="1" x14ac:dyDescent="0.55000000000000004">
      <c r="A99" s="258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6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260"/>
    </row>
    <row r="100" spans="1:50" s="15" customFormat="1" ht="15" customHeight="1" thickBot="1" x14ac:dyDescent="0.55000000000000004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260"/>
    </row>
    <row r="101" spans="1:50" s="15" customFormat="1" ht="15" customHeight="1" thickBot="1" x14ac:dyDescent="0.55000000000000004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260"/>
    </row>
    <row r="102" spans="1:50" s="15" customFormat="1" ht="15" customHeight="1" thickBot="1" x14ac:dyDescent="0.55000000000000004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260"/>
    </row>
    <row r="103" spans="1:50" s="16" customFormat="1" ht="24" customHeight="1" x14ac:dyDescent="0.45">
      <c r="A103" s="335" t="s">
        <v>181</v>
      </c>
      <c r="B103" s="262"/>
      <c r="C103" s="262"/>
      <c r="D103" s="340" t="s">
        <v>219</v>
      </c>
      <c r="E103" s="340"/>
      <c r="F103" s="340"/>
      <c r="G103" s="340"/>
      <c r="H103" s="340"/>
      <c r="I103" s="340"/>
      <c r="J103" s="340"/>
      <c r="K103" s="340"/>
      <c r="L103" s="341"/>
      <c r="M103" s="261" t="s">
        <v>181</v>
      </c>
      <c r="N103" s="262"/>
      <c r="O103" s="262"/>
      <c r="P103" s="340" t="s">
        <v>219</v>
      </c>
      <c r="Q103" s="340"/>
      <c r="R103" s="340"/>
      <c r="S103" s="340"/>
      <c r="T103" s="340"/>
      <c r="U103" s="340"/>
      <c r="V103" s="340"/>
      <c r="W103" s="340"/>
      <c r="X103" s="341"/>
      <c r="Y103" s="261" t="s">
        <v>181</v>
      </c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3"/>
      <c r="AL103" s="261" t="s">
        <v>181</v>
      </c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72"/>
    </row>
    <row r="104" spans="1:50" s="16" customFormat="1" ht="24" customHeight="1" x14ac:dyDescent="0.45">
      <c r="A104" s="336"/>
      <c r="B104" s="265"/>
      <c r="C104" s="265"/>
      <c r="D104" s="342"/>
      <c r="E104" s="342"/>
      <c r="F104" s="342"/>
      <c r="G104" s="342"/>
      <c r="H104" s="342"/>
      <c r="I104" s="342"/>
      <c r="J104" s="342"/>
      <c r="K104" s="342"/>
      <c r="L104" s="343"/>
      <c r="M104" s="264"/>
      <c r="N104" s="265"/>
      <c r="O104" s="265"/>
      <c r="P104" s="342"/>
      <c r="Q104" s="342"/>
      <c r="R104" s="342"/>
      <c r="S104" s="342"/>
      <c r="T104" s="342"/>
      <c r="U104" s="342"/>
      <c r="V104" s="342"/>
      <c r="W104" s="342"/>
      <c r="X104" s="343"/>
      <c r="Y104" s="264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6"/>
      <c r="AL104" s="264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73"/>
    </row>
    <row r="105" spans="1:50" s="16" customFormat="1" ht="24" customHeight="1" thickBot="1" x14ac:dyDescent="0.5">
      <c r="A105" s="338"/>
      <c r="B105" s="268"/>
      <c r="C105" s="268"/>
      <c r="D105" s="346"/>
      <c r="E105" s="346"/>
      <c r="F105" s="346"/>
      <c r="G105" s="346"/>
      <c r="H105" s="346"/>
      <c r="I105" s="346"/>
      <c r="J105" s="346"/>
      <c r="K105" s="346"/>
      <c r="L105" s="347"/>
      <c r="M105" s="267"/>
      <c r="N105" s="268"/>
      <c r="O105" s="268"/>
      <c r="P105" s="346"/>
      <c r="Q105" s="346"/>
      <c r="R105" s="346"/>
      <c r="S105" s="346"/>
      <c r="T105" s="346"/>
      <c r="U105" s="346"/>
      <c r="V105" s="346"/>
      <c r="W105" s="346"/>
      <c r="X105" s="347"/>
      <c r="Y105" s="267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9"/>
      <c r="AL105" s="267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74"/>
    </row>
    <row r="106" spans="1:50" s="16" customFormat="1" ht="24" customHeight="1" x14ac:dyDescent="0.45">
      <c r="A106" s="335" t="s">
        <v>182</v>
      </c>
      <c r="B106" s="262"/>
      <c r="C106" s="262"/>
      <c r="D106" s="340"/>
      <c r="E106" s="340"/>
      <c r="F106" s="340"/>
      <c r="G106" s="340"/>
      <c r="H106" s="340"/>
      <c r="I106" s="340"/>
      <c r="J106" s="340"/>
      <c r="K106" s="340"/>
      <c r="L106" s="341"/>
      <c r="M106" s="261" t="s">
        <v>182</v>
      </c>
      <c r="N106" s="262"/>
      <c r="O106" s="262"/>
      <c r="P106" s="340"/>
      <c r="Q106" s="340"/>
      <c r="R106" s="340"/>
      <c r="S106" s="340"/>
      <c r="T106" s="340"/>
      <c r="U106" s="340"/>
      <c r="V106" s="340"/>
      <c r="W106" s="340"/>
      <c r="X106" s="341"/>
      <c r="Y106" s="261" t="s">
        <v>182</v>
      </c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3"/>
      <c r="AL106" s="261" t="s">
        <v>182</v>
      </c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72"/>
    </row>
    <row r="107" spans="1:50" s="16" customFormat="1" ht="24" customHeight="1" x14ac:dyDescent="0.45">
      <c r="A107" s="336"/>
      <c r="B107" s="265"/>
      <c r="C107" s="265"/>
      <c r="D107" s="342"/>
      <c r="E107" s="342"/>
      <c r="F107" s="342"/>
      <c r="G107" s="342"/>
      <c r="H107" s="342"/>
      <c r="I107" s="342"/>
      <c r="J107" s="342"/>
      <c r="K107" s="342"/>
      <c r="L107" s="343"/>
      <c r="M107" s="264"/>
      <c r="N107" s="265"/>
      <c r="O107" s="265"/>
      <c r="P107" s="342"/>
      <c r="Q107" s="342"/>
      <c r="R107" s="342"/>
      <c r="S107" s="342"/>
      <c r="T107" s="342"/>
      <c r="U107" s="342"/>
      <c r="V107" s="342"/>
      <c r="W107" s="342"/>
      <c r="X107" s="343"/>
      <c r="Y107" s="264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6"/>
      <c r="AL107" s="264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73"/>
    </row>
    <row r="108" spans="1:50" s="16" customFormat="1" ht="24" customHeight="1" thickBot="1" x14ac:dyDescent="0.5">
      <c r="A108" s="338"/>
      <c r="B108" s="268"/>
      <c r="C108" s="268"/>
      <c r="D108" s="346"/>
      <c r="E108" s="346"/>
      <c r="F108" s="346"/>
      <c r="G108" s="346"/>
      <c r="H108" s="346"/>
      <c r="I108" s="346"/>
      <c r="J108" s="346"/>
      <c r="K108" s="346"/>
      <c r="L108" s="347"/>
      <c r="M108" s="267"/>
      <c r="N108" s="268"/>
      <c r="O108" s="268"/>
      <c r="P108" s="346"/>
      <c r="Q108" s="346"/>
      <c r="R108" s="346"/>
      <c r="S108" s="346"/>
      <c r="T108" s="346"/>
      <c r="U108" s="346"/>
      <c r="V108" s="346"/>
      <c r="W108" s="346"/>
      <c r="X108" s="347"/>
      <c r="Y108" s="267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9"/>
      <c r="AL108" s="267"/>
      <c r="AM108" s="268"/>
      <c r="AN108" s="268"/>
      <c r="AO108" s="268"/>
      <c r="AP108" s="268"/>
      <c r="AQ108" s="268"/>
      <c r="AR108" s="268"/>
      <c r="AS108" s="268"/>
      <c r="AT108" s="268"/>
      <c r="AU108" s="268"/>
      <c r="AV108" s="268"/>
      <c r="AW108" s="268"/>
      <c r="AX108" s="274"/>
    </row>
    <row r="109" spans="1:50" s="16" customFormat="1" ht="24" customHeight="1" x14ac:dyDescent="0.45">
      <c r="A109" s="335" t="s">
        <v>183</v>
      </c>
      <c r="B109" s="262"/>
      <c r="C109" s="262"/>
      <c r="D109" s="340"/>
      <c r="E109" s="340"/>
      <c r="F109" s="340"/>
      <c r="G109" s="340"/>
      <c r="H109" s="340"/>
      <c r="I109" s="340"/>
      <c r="J109" s="340"/>
      <c r="K109" s="340"/>
      <c r="L109" s="341"/>
      <c r="M109" s="261" t="s">
        <v>183</v>
      </c>
      <c r="N109" s="262"/>
      <c r="O109" s="262"/>
      <c r="P109" s="340"/>
      <c r="Q109" s="340"/>
      <c r="R109" s="340"/>
      <c r="S109" s="340"/>
      <c r="T109" s="340"/>
      <c r="U109" s="340"/>
      <c r="V109" s="340"/>
      <c r="W109" s="340"/>
      <c r="X109" s="341"/>
      <c r="Y109" s="261" t="s">
        <v>183</v>
      </c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3"/>
      <c r="AL109" s="261" t="s">
        <v>183</v>
      </c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72"/>
    </row>
    <row r="110" spans="1:50" s="16" customFormat="1" ht="24" customHeight="1" x14ac:dyDescent="0.45">
      <c r="A110" s="336"/>
      <c r="B110" s="265"/>
      <c r="C110" s="265"/>
      <c r="D110" s="342"/>
      <c r="E110" s="342"/>
      <c r="F110" s="342"/>
      <c r="G110" s="342"/>
      <c r="H110" s="342"/>
      <c r="I110" s="342"/>
      <c r="J110" s="342"/>
      <c r="K110" s="342"/>
      <c r="L110" s="343"/>
      <c r="M110" s="264"/>
      <c r="N110" s="265"/>
      <c r="O110" s="265"/>
      <c r="P110" s="342"/>
      <c r="Q110" s="342"/>
      <c r="R110" s="342"/>
      <c r="S110" s="342"/>
      <c r="T110" s="342"/>
      <c r="U110" s="342"/>
      <c r="V110" s="342"/>
      <c r="W110" s="342"/>
      <c r="X110" s="343"/>
      <c r="Y110" s="264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6"/>
      <c r="AL110" s="264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73"/>
    </row>
    <row r="111" spans="1:50" s="16" customFormat="1" ht="24" customHeight="1" thickBot="1" x14ac:dyDescent="0.5">
      <c r="A111" s="338"/>
      <c r="B111" s="268"/>
      <c r="C111" s="268"/>
      <c r="D111" s="346"/>
      <c r="E111" s="346"/>
      <c r="F111" s="346"/>
      <c r="G111" s="346"/>
      <c r="H111" s="346"/>
      <c r="I111" s="346"/>
      <c r="J111" s="346"/>
      <c r="K111" s="346"/>
      <c r="L111" s="347"/>
      <c r="M111" s="267"/>
      <c r="N111" s="268"/>
      <c r="O111" s="268"/>
      <c r="P111" s="346"/>
      <c r="Q111" s="346"/>
      <c r="R111" s="346"/>
      <c r="S111" s="346"/>
      <c r="T111" s="346"/>
      <c r="U111" s="346"/>
      <c r="V111" s="346"/>
      <c r="W111" s="346"/>
      <c r="X111" s="347"/>
      <c r="Y111" s="267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9"/>
      <c r="AL111" s="267"/>
      <c r="AM111" s="268"/>
      <c r="AN111" s="268"/>
      <c r="AO111" s="268"/>
      <c r="AP111" s="268"/>
      <c r="AQ111" s="268"/>
      <c r="AR111" s="268"/>
      <c r="AS111" s="268"/>
      <c r="AT111" s="268"/>
      <c r="AU111" s="268"/>
      <c r="AV111" s="268"/>
      <c r="AW111" s="268"/>
      <c r="AX111" s="274"/>
    </row>
    <row r="112" spans="1:50" s="16" customFormat="1" ht="24" customHeight="1" x14ac:dyDescent="0.45">
      <c r="A112" s="335" t="s">
        <v>184</v>
      </c>
      <c r="B112" s="262"/>
      <c r="C112" s="262"/>
      <c r="D112" s="339">
        <f>AN17</f>
        <v>46028</v>
      </c>
      <c r="E112" s="340"/>
      <c r="F112" s="340"/>
      <c r="G112" s="340"/>
      <c r="H112" s="340"/>
      <c r="I112" s="340"/>
      <c r="J112" s="340"/>
      <c r="K112" s="340"/>
      <c r="L112" s="341"/>
      <c r="M112" s="261" t="s">
        <v>184</v>
      </c>
      <c r="N112" s="262"/>
      <c r="O112" s="262"/>
      <c r="P112" s="339">
        <f>AN17</f>
        <v>46028</v>
      </c>
      <c r="Q112" s="340"/>
      <c r="R112" s="340"/>
      <c r="S112" s="340"/>
      <c r="T112" s="340"/>
      <c r="U112" s="340"/>
      <c r="V112" s="340"/>
      <c r="W112" s="340"/>
      <c r="X112" s="341"/>
      <c r="Y112" s="261" t="s">
        <v>184</v>
      </c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3"/>
      <c r="AL112" s="261" t="s">
        <v>184</v>
      </c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72"/>
    </row>
    <row r="113" spans="1:50" s="16" customFormat="1" ht="24" customHeight="1" x14ac:dyDescent="0.45">
      <c r="A113" s="336"/>
      <c r="B113" s="265"/>
      <c r="C113" s="265"/>
      <c r="D113" s="342"/>
      <c r="E113" s="342"/>
      <c r="F113" s="342"/>
      <c r="G113" s="342"/>
      <c r="H113" s="342"/>
      <c r="I113" s="342"/>
      <c r="J113" s="342"/>
      <c r="K113" s="342"/>
      <c r="L113" s="343"/>
      <c r="M113" s="264"/>
      <c r="N113" s="265"/>
      <c r="O113" s="265"/>
      <c r="P113" s="342"/>
      <c r="Q113" s="342"/>
      <c r="R113" s="342"/>
      <c r="S113" s="342"/>
      <c r="T113" s="342"/>
      <c r="U113" s="342"/>
      <c r="V113" s="342"/>
      <c r="W113" s="342"/>
      <c r="X113" s="343"/>
      <c r="Y113" s="264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6"/>
      <c r="AL113" s="264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73"/>
    </row>
    <row r="114" spans="1:50" s="16" customFormat="1" ht="24" customHeight="1" thickBot="1" x14ac:dyDescent="0.5">
      <c r="A114" s="337"/>
      <c r="B114" s="332"/>
      <c r="C114" s="332"/>
      <c r="D114" s="344"/>
      <c r="E114" s="344"/>
      <c r="F114" s="344"/>
      <c r="G114" s="344"/>
      <c r="H114" s="344"/>
      <c r="I114" s="344"/>
      <c r="J114" s="344"/>
      <c r="K114" s="344"/>
      <c r="L114" s="345"/>
      <c r="M114" s="331"/>
      <c r="N114" s="332"/>
      <c r="O114" s="332"/>
      <c r="P114" s="344"/>
      <c r="Q114" s="344"/>
      <c r="R114" s="344"/>
      <c r="S114" s="344"/>
      <c r="T114" s="344"/>
      <c r="U114" s="344"/>
      <c r="V114" s="344"/>
      <c r="W114" s="344"/>
      <c r="X114" s="345"/>
      <c r="Y114" s="331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3"/>
      <c r="AL114" s="331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34"/>
    </row>
    <row r="115" spans="1:50" ht="14.4" thickTop="1" x14ac:dyDescent="0.25"/>
  </sheetData>
  <mergeCells count="4356"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136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70" zoomScaleNormal="70" zoomScaleSheetLayoutView="7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137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138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21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21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1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55" zoomScaleNormal="70" zoomScaleSheetLayoutView="55" workbookViewId="0">
      <selection activeCell="C66" sqref="C66:H7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139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tr">
        <f>'SECTION #10'!I10:J12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140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'SECTION #9'!D16:F18</f>
        <v>INSTRUMENT AIR PIPING</v>
      </c>
      <c r="E16" s="146"/>
      <c r="F16" s="146"/>
      <c r="G16" s="145" t="s">
        <v>4</v>
      </c>
      <c r="H16" s="145"/>
      <c r="I16" s="145" t="str">
        <f>'SECTION #10'!I16:J18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4.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70" zoomScaleNormal="70" zoomScaleSheetLayoutView="7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141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165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55" zoomScaleNormal="70" zoomScaleSheetLayoutView="55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142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143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4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70" zoomScaleNormal="70" zoomScaleSheetLayoutView="7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145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70" zoomScaleNormal="70" zoomScaleSheetLayoutView="7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tr">
        <f>Sheet1!H$10</f>
        <v>CT9-AC-MD-1.1-MBH02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109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tr">
        <f>Sheet1!D$22</f>
        <v>INSTRUMENT AIR PIPING</v>
      </c>
      <c r="E16" s="146"/>
      <c r="F16" s="146"/>
      <c r="G16" s="145" t="s">
        <v>4</v>
      </c>
      <c r="H16" s="145"/>
      <c r="I16" s="145" t="str">
        <f>Sheet1!D$19</f>
        <v>24A0A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R4" zoomScale="40" zoomScaleNormal="70" zoomScaleSheetLayoutView="40" zoomScalePageLayoutView="40" workbookViewId="0">
      <selection activeCell="AP83" sqref="AP83:AX8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164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350"/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152"/>
      <c r="AR7" s="152"/>
      <c r="AS7" s="152"/>
      <c r="AT7" s="152"/>
      <c r="AU7" s="152"/>
      <c r="AV7" s="152"/>
      <c r="AW7" s="152"/>
      <c r="AX7" s="316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82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85</v>
      </c>
      <c r="AI11" s="309"/>
      <c r="AJ11" s="309"/>
      <c r="AK11" s="309"/>
      <c r="AL11" s="309"/>
      <c r="AM11" s="310"/>
      <c r="AN11" s="306" t="str">
        <f>Sheet1!H10</f>
        <v>CT9-AC-MD-1.1-MBH02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83</v>
      </c>
      <c r="B14" s="271"/>
      <c r="C14" s="271"/>
      <c r="D14" s="271"/>
      <c r="E14" s="271"/>
      <c r="F14" s="271"/>
      <c r="G14" s="271"/>
      <c r="H14" s="285"/>
      <c r="I14" s="271" t="str">
        <f>Sheet1!H$13</f>
        <v xml:space="preserve">CT9  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90</v>
      </c>
      <c r="AI14" s="271"/>
      <c r="AJ14" s="271"/>
      <c r="AK14" s="271"/>
      <c r="AL14" s="271"/>
      <c r="AM14" s="285"/>
      <c r="AN14" s="291" t="s">
        <v>209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147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91</v>
      </c>
      <c r="AI17" s="271"/>
      <c r="AJ17" s="271"/>
      <c r="AK17" s="271"/>
      <c r="AL17" s="271"/>
      <c r="AM17" s="285"/>
      <c r="AN17" s="348">
        <v>46028</v>
      </c>
      <c r="AO17" s="348"/>
      <c r="AP17" s="348"/>
      <c r="AQ17" s="348"/>
      <c r="AR17" s="348"/>
      <c r="AS17" s="348"/>
      <c r="AT17" s="348"/>
      <c r="AU17" s="348"/>
      <c r="AV17" s="348"/>
      <c r="AW17" s="348"/>
      <c r="AX17" s="349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48"/>
      <c r="AO18" s="348"/>
      <c r="AP18" s="348"/>
      <c r="AQ18" s="348"/>
      <c r="AR18" s="348"/>
      <c r="AS18" s="348"/>
      <c r="AT18" s="348"/>
      <c r="AU18" s="348"/>
      <c r="AV18" s="348"/>
      <c r="AW18" s="348"/>
      <c r="AX18" s="349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9"/>
    </row>
    <row r="20" spans="1:16384" ht="15" customHeight="1" thickBot="1" x14ac:dyDescent="0.3">
      <c r="A20" s="284" t="s">
        <v>87</v>
      </c>
      <c r="B20" s="271"/>
      <c r="C20" s="271"/>
      <c r="D20" s="271"/>
      <c r="E20" s="271"/>
      <c r="F20" s="271"/>
      <c r="G20" s="271"/>
      <c r="H20" s="285"/>
      <c r="I20" s="305" t="str">
        <f>Sheet2!J13</f>
        <v>MD-1.1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92</v>
      </c>
      <c r="AI20" s="271"/>
      <c r="AJ20" s="271"/>
      <c r="AK20" s="271"/>
      <c r="AL20" s="271"/>
      <c r="AM20" s="285"/>
      <c r="AN20" s="291" t="s">
        <v>210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148</v>
      </c>
      <c r="B23" s="271"/>
      <c r="C23" s="271"/>
      <c r="D23" s="271"/>
      <c r="E23" s="271"/>
      <c r="F23" s="271"/>
      <c r="G23" s="271"/>
      <c r="H23" s="285"/>
      <c r="I23" s="271" t="s">
        <v>160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93</v>
      </c>
      <c r="AI23" s="271"/>
      <c r="AJ23" s="271"/>
      <c r="AK23" s="271"/>
      <c r="AL23" s="271"/>
      <c r="AM23" s="28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27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27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270"/>
    </row>
    <row r="26" spans="1:16384" ht="15" customHeight="1" thickBot="1" x14ac:dyDescent="0.3">
      <c r="A26" s="284"/>
      <c r="B26" s="271"/>
      <c r="C26" s="271"/>
      <c r="D26" s="271"/>
      <c r="E26" s="271"/>
      <c r="F26" s="271"/>
      <c r="G26" s="271"/>
      <c r="H26" s="28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271"/>
      <c r="AI26" s="271"/>
      <c r="AJ26" s="271"/>
      <c r="AK26" s="271"/>
      <c r="AL26" s="271"/>
      <c r="AM26" s="28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270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271"/>
      <c r="AI27" s="271"/>
      <c r="AJ27" s="271"/>
      <c r="AK27" s="271"/>
      <c r="AL27" s="271"/>
      <c r="AM27" s="28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270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287"/>
      <c r="AI28" s="287"/>
      <c r="AJ28" s="287"/>
      <c r="AK28" s="287"/>
      <c r="AL28" s="287"/>
      <c r="AM28" s="288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8"/>
    </row>
    <row r="29" spans="1:16384" ht="15" customHeight="1" thickTop="1" thickBot="1" x14ac:dyDescent="0.3">
      <c r="A29" s="324" t="s">
        <v>98</v>
      </c>
      <c r="B29" s="277"/>
      <c r="C29" s="277"/>
      <c r="D29" s="277" t="s">
        <v>149</v>
      </c>
      <c r="E29" s="277"/>
      <c r="F29" s="277"/>
      <c r="G29" s="277"/>
      <c r="H29" s="277"/>
      <c r="I29" s="277" t="s">
        <v>150</v>
      </c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353" t="s">
        <v>151</v>
      </c>
      <c r="AA29" s="277"/>
      <c r="AB29" s="277"/>
      <c r="AC29" s="353" t="s">
        <v>152</v>
      </c>
      <c r="AD29" s="277"/>
      <c r="AE29" s="277"/>
      <c r="AF29" s="277"/>
      <c r="AG29" s="277" t="s">
        <v>156</v>
      </c>
      <c r="AH29" s="277"/>
      <c r="AI29" s="277"/>
      <c r="AJ29" s="277"/>
      <c r="AK29" s="277"/>
      <c r="AL29" s="277"/>
      <c r="AM29" s="277"/>
      <c r="AN29" s="277"/>
      <c r="AO29" s="277"/>
      <c r="AP29" s="277" t="s">
        <v>103</v>
      </c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259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270"/>
    </row>
    <row r="32" spans="1:16384" ht="15" customHeight="1" thickBot="1" x14ac:dyDescent="0.3">
      <c r="A32" s="259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 t="s">
        <v>153</v>
      </c>
      <c r="AH32" s="195"/>
      <c r="AI32" s="195"/>
      <c r="AJ32" s="195" t="s">
        <v>154</v>
      </c>
      <c r="AK32" s="195"/>
      <c r="AL32" s="195"/>
      <c r="AM32" s="195" t="s">
        <v>155</v>
      </c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270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325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8"/>
    </row>
    <row r="35" spans="1:50" ht="15" customHeight="1" thickTop="1" thickBot="1" x14ac:dyDescent="0.3">
      <c r="A35" s="330">
        <v>1</v>
      </c>
      <c r="B35" s="276"/>
      <c r="C35" s="276"/>
      <c r="D35" s="276" t="s">
        <v>206</v>
      </c>
      <c r="E35" s="276"/>
      <c r="F35" s="276"/>
      <c r="G35" s="276"/>
      <c r="H35" s="276"/>
      <c r="I35" s="354" t="s">
        <v>212</v>
      </c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276" t="s">
        <v>213</v>
      </c>
      <c r="AA35" s="276"/>
      <c r="AB35" s="276"/>
      <c r="AC35" s="276" t="s">
        <v>214</v>
      </c>
      <c r="AD35" s="276"/>
      <c r="AE35" s="276"/>
      <c r="AF35" s="276"/>
      <c r="AG35" s="276" t="s">
        <v>215</v>
      </c>
      <c r="AH35" s="276"/>
      <c r="AI35" s="276"/>
      <c r="AJ35" s="276" t="s">
        <v>216</v>
      </c>
      <c r="AK35" s="276"/>
      <c r="AL35" s="276"/>
      <c r="AM35" s="276" t="s">
        <v>217</v>
      </c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329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259"/>
      <c r="B37" s="195"/>
      <c r="C37" s="195"/>
      <c r="D37" s="195"/>
      <c r="E37" s="195"/>
      <c r="F37" s="195"/>
      <c r="G37" s="195"/>
      <c r="H37" s="195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70"/>
    </row>
    <row r="38" spans="1:50" ht="15" customHeight="1" thickBot="1" x14ac:dyDescent="0.3">
      <c r="A38" s="259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70"/>
    </row>
    <row r="39" spans="1:50" ht="15" customHeight="1" thickBot="1" x14ac:dyDescent="0.3">
      <c r="A39" s="259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259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270"/>
    </row>
    <row r="93" spans="1:50" ht="15" customHeight="1" thickBot="1" x14ac:dyDescent="0.3">
      <c r="A93" s="259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270"/>
    </row>
    <row r="94" spans="1:50" ht="15" customHeight="1" thickBot="1" x14ac:dyDescent="0.3">
      <c r="A94" s="259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270"/>
    </row>
    <row r="95" spans="1:50" ht="15" customHeight="1" thickBot="1" x14ac:dyDescent="0.3">
      <c r="A95" s="259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270"/>
    </row>
    <row r="96" spans="1:50" ht="15" customHeight="1" thickBot="1" x14ac:dyDescent="0.3">
      <c r="A96" s="259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270"/>
    </row>
    <row r="97" spans="1:50" ht="15" customHeight="1" thickBot="1" x14ac:dyDescent="0.3">
      <c r="A97" s="259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270"/>
    </row>
    <row r="98" spans="1:50" ht="15" customHeight="1" thickBot="1" x14ac:dyDescent="0.3">
      <c r="A98" s="259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270"/>
    </row>
    <row r="99" spans="1:50" ht="15" customHeight="1" thickBot="1" x14ac:dyDescent="0.3">
      <c r="A99" s="259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270"/>
    </row>
    <row r="100" spans="1:50" ht="15" customHeight="1" thickBot="1" x14ac:dyDescent="0.3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270"/>
    </row>
    <row r="101" spans="1:50" ht="15" customHeight="1" thickBot="1" x14ac:dyDescent="0.3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270"/>
    </row>
    <row r="102" spans="1:50" ht="15" customHeight="1" thickBot="1" x14ac:dyDescent="0.3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270"/>
    </row>
    <row r="103" spans="1:50" ht="15" customHeight="1" thickBot="1" x14ac:dyDescent="0.3">
      <c r="A103" s="259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270"/>
    </row>
    <row r="104" spans="1:50" ht="15" customHeight="1" thickBot="1" x14ac:dyDescent="0.3">
      <c r="A104" s="259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270"/>
    </row>
    <row r="105" spans="1:50" ht="15" customHeight="1" thickBot="1" x14ac:dyDescent="0.3">
      <c r="A105" s="259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270"/>
    </row>
    <row r="106" spans="1:50" ht="15" customHeight="1" thickBot="1" x14ac:dyDescent="0.3">
      <c r="A106" s="259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270"/>
    </row>
    <row r="107" spans="1:50" ht="15" customHeight="1" thickBot="1" x14ac:dyDescent="0.3">
      <c r="A107" s="259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270"/>
    </row>
    <row r="108" spans="1:50" ht="15" customHeight="1" thickBot="1" x14ac:dyDescent="0.3">
      <c r="A108" s="259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270"/>
    </row>
    <row r="109" spans="1:50" ht="15" customHeight="1" thickBot="1" x14ac:dyDescent="0.3">
      <c r="A109" s="259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270"/>
    </row>
    <row r="110" spans="1:50" ht="15" customHeight="1" thickBot="1" x14ac:dyDescent="0.3">
      <c r="A110" s="357" t="s">
        <v>157</v>
      </c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9"/>
    </row>
    <row r="111" spans="1:50" ht="15" customHeight="1" thickBot="1" x14ac:dyDescent="0.3">
      <c r="A111" s="357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9"/>
    </row>
    <row r="112" spans="1:50" ht="22.2" customHeight="1" thickBot="1" x14ac:dyDescent="0.3">
      <c r="A112" s="357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9"/>
    </row>
    <row r="113" spans="1:50" ht="15" customHeight="1" thickBot="1" x14ac:dyDescent="0.3">
      <c r="A113" s="284" t="s">
        <v>159</v>
      </c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 t="s">
        <v>158</v>
      </c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308"/>
    </row>
    <row r="114" spans="1:50" ht="15" customHeight="1" thickBot="1" x14ac:dyDescent="0.3">
      <c r="A114" s="284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308"/>
    </row>
    <row r="115" spans="1:50" ht="15" customHeight="1" thickBot="1" x14ac:dyDescent="0.3">
      <c r="A115" s="284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308"/>
    </row>
    <row r="116" spans="1:50" ht="15" customHeight="1" thickBot="1" x14ac:dyDescent="0.3">
      <c r="A116" s="259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270"/>
    </row>
    <row r="117" spans="1:50" ht="15" customHeight="1" thickBot="1" x14ac:dyDescent="0.3">
      <c r="A117" s="259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270"/>
    </row>
    <row r="118" spans="1:50" ht="15" customHeight="1" thickBot="1" x14ac:dyDescent="0.3">
      <c r="A118" s="355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6"/>
    </row>
    <row r="119" spans="1:50" ht="33" customHeight="1" thickBot="1" x14ac:dyDescent="0.3">
      <c r="A119" s="320" t="s">
        <v>177</v>
      </c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2"/>
    </row>
    <row r="120" spans="1:50" ht="33" customHeight="1" thickBot="1" x14ac:dyDescent="0.3">
      <c r="A120" s="320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  <c r="AX120" s="322"/>
    </row>
    <row r="121" spans="1:50" ht="33" customHeight="1" thickBot="1" x14ac:dyDescent="0.3">
      <c r="A121" s="320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  <c r="AW121" s="321"/>
      <c r="AX121" s="322"/>
    </row>
    <row r="122" spans="1:50" s="15" customFormat="1" ht="15" customHeight="1" thickBot="1" x14ac:dyDescent="0.55000000000000004">
      <c r="A122" s="258" t="s">
        <v>187</v>
      </c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6" t="s">
        <v>178</v>
      </c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6" t="s">
        <v>179</v>
      </c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 t="s">
        <v>180</v>
      </c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260"/>
    </row>
    <row r="123" spans="1:50" s="15" customFormat="1" ht="15" customHeight="1" thickBot="1" x14ac:dyDescent="0.55000000000000004">
      <c r="A123" s="258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6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260"/>
    </row>
    <row r="124" spans="1:50" s="15" customFormat="1" ht="15" customHeight="1" thickBot="1" x14ac:dyDescent="0.55000000000000004">
      <c r="A124" s="259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260"/>
    </row>
    <row r="125" spans="1:50" s="15" customFormat="1" ht="15" customHeight="1" thickBot="1" x14ac:dyDescent="0.55000000000000004">
      <c r="A125" s="259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260"/>
    </row>
    <row r="126" spans="1:50" s="15" customFormat="1" ht="15" customHeight="1" thickBot="1" x14ac:dyDescent="0.55000000000000004">
      <c r="A126" s="259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260"/>
    </row>
    <row r="127" spans="1:50" s="16" customFormat="1" ht="24" customHeight="1" x14ac:dyDescent="0.45">
      <c r="A127" s="335" t="s">
        <v>218</v>
      </c>
      <c r="B127" s="262"/>
      <c r="C127" s="262"/>
      <c r="D127" s="340" t="s">
        <v>220</v>
      </c>
      <c r="E127" s="340"/>
      <c r="F127" s="340"/>
      <c r="G127" s="340"/>
      <c r="H127" s="340"/>
      <c r="I127" s="340"/>
      <c r="J127" s="340"/>
      <c r="K127" s="340"/>
      <c r="L127" s="341"/>
      <c r="M127" s="261" t="s">
        <v>181</v>
      </c>
      <c r="N127" s="262"/>
      <c r="O127" s="340" t="s">
        <v>219</v>
      </c>
      <c r="P127" s="340"/>
      <c r="Q127" s="340"/>
      <c r="R127" s="340"/>
      <c r="S127" s="340"/>
      <c r="T127" s="340"/>
      <c r="U127" s="340"/>
      <c r="V127" s="340"/>
      <c r="W127" s="340"/>
      <c r="X127" s="341"/>
      <c r="Y127" s="261" t="s">
        <v>181</v>
      </c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3"/>
      <c r="AL127" s="261" t="s">
        <v>181</v>
      </c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72"/>
    </row>
    <row r="128" spans="1:50" s="16" customFormat="1" ht="24" customHeight="1" x14ac:dyDescent="0.45">
      <c r="A128" s="336"/>
      <c r="B128" s="265"/>
      <c r="C128" s="265"/>
      <c r="D128" s="342"/>
      <c r="E128" s="342"/>
      <c r="F128" s="342"/>
      <c r="G128" s="342"/>
      <c r="H128" s="342"/>
      <c r="I128" s="342"/>
      <c r="J128" s="342"/>
      <c r="K128" s="342"/>
      <c r="L128" s="343"/>
      <c r="M128" s="264"/>
      <c r="N128" s="265"/>
      <c r="O128" s="342"/>
      <c r="P128" s="342"/>
      <c r="Q128" s="342"/>
      <c r="R128" s="342"/>
      <c r="S128" s="342"/>
      <c r="T128" s="342"/>
      <c r="U128" s="342"/>
      <c r="V128" s="342"/>
      <c r="W128" s="342"/>
      <c r="X128" s="343"/>
      <c r="Y128" s="264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6"/>
      <c r="AL128" s="264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73"/>
    </row>
    <row r="129" spans="1:50" s="16" customFormat="1" ht="24" customHeight="1" thickBot="1" x14ac:dyDescent="0.5">
      <c r="A129" s="338"/>
      <c r="B129" s="268"/>
      <c r="C129" s="268"/>
      <c r="D129" s="346"/>
      <c r="E129" s="346"/>
      <c r="F129" s="346"/>
      <c r="G129" s="346"/>
      <c r="H129" s="346"/>
      <c r="I129" s="346"/>
      <c r="J129" s="346"/>
      <c r="K129" s="346"/>
      <c r="L129" s="347"/>
      <c r="M129" s="267"/>
      <c r="N129" s="268"/>
      <c r="O129" s="346"/>
      <c r="P129" s="346"/>
      <c r="Q129" s="346"/>
      <c r="R129" s="346"/>
      <c r="S129" s="346"/>
      <c r="T129" s="346"/>
      <c r="U129" s="346"/>
      <c r="V129" s="346"/>
      <c r="W129" s="346"/>
      <c r="X129" s="347"/>
      <c r="Y129" s="267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9"/>
      <c r="AL129" s="267"/>
      <c r="AM129" s="268"/>
      <c r="AN129" s="268"/>
      <c r="AO129" s="268"/>
      <c r="AP129" s="268"/>
      <c r="AQ129" s="268"/>
      <c r="AR129" s="268"/>
      <c r="AS129" s="268"/>
      <c r="AT129" s="268"/>
      <c r="AU129" s="268"/>
      <c r="AV129" s="268"/>
      <c r="AW129" s="268"/>
      <c r="AX129" s="274"/>
    </row>
    <row r="130" spans="1:50" s="16" customFormat="1" ht="24" customHeight="1" x14ac:dyDescent="0.45">
      <c r="A130" s="335" t="s">
        <v>182</v>
      </c>
      <c r="B130" s="262"/>
      <c r="C130" s="262"/>
      <c r="D130" s="340"/>
      <c r="E130" s="340"/>
      <c r="F130" s="340"/>
      <c r="G130" s="340"/>
      <c r="H130" s="340"/>
      <c r="I130" s="340"/>
      <c r="J130" s="340"/>
      <c r="K130" s="340"/>
      <c r="L130" s="341"/>
      <c r="M130" s="261" t="s">
        <v>182</v>
      </c>
      <c r="N130" s="262"/>
      <c r="O130" s="340"/>
      <c r="P130" s="340"/>
      <c r="Q130" s="340"/>
      <c r="R130" s="340"/>
      <c r="S130" s="340"/>
      <c r="T130" s="340"/>
      <c r="U130" s="340"/>
      <c r="V130" s="340"/>
      <c r="W130" s="340"/>
      <c r="X130" s="341"/>
      <c r="Y130" s="261" t="s">
        <v>182</v>
      </c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3"/>
      <c r="AL130" s="261" t="s">
        <v>182</v>
      </c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72"/>
    </row>
    <row r="131" spans="1:50" s="16" customFormat="1" ht="24" customHeight="1" x14ac:dyDescent="0.45">
      <c r="A131" s="336"/>
      <c r="B131" s="265"/>
      <c r="C131" s="265"/>
      <c r="D131" s="342"/>
      <c r="E131" s="342"/>
      <c r="F131" s="342"/>
      <c r="G131" s="342"/>
      <c r="H131" s="342"/>
      <c r="I131" s="342"/>
      <c r="J131" s="342"/>
      <c r="K131" s="342"/>
      <c r="L131" s="343"/>
      <c r="M131" s="264"/>
      <c r="N131" s="265"/>
      <c r="O131" s="342"/>
      <c r="P131" s="342"/>
      <c r="Q131" s="342"/>
      <c r="R131" s="342"/>
      <c r="S131" s="342"/>
      <c r="T131" s="342"/>
      <c r="U131" s="342"/>
      <c r="V131" s="342"/>
      <c r="W131" s="342"/>
      <c r="X131" s="343"/>
      <c r="Y131" s="264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6"/>
      <c r="AL131" s="264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73"/>
    </row>
    <row r="132" spans="1:50" s="16" customFormat="1" ht="24" customHeight="1" thickBot="1" x14ac:dyDescent="0.5">
      <c r="A132" s="338"/>
      <c r="B132" s="268"/>
      <c r="C132" s="268"/>
      <c r="D132" s="346"/>
      <c r="E132" s="346"/>
      <c r="F132" s="346"/>
      <c r="G132" s="346"/>
      <c r="H132" s="346"/>
      <c r="I132" s="346"/>
      <c r="J132" s="346"/>
      <c r="K132" s="346"/>
      <c r="L132" s="347"/>
      <c r="M132" s="267"/>
      <c r="N132" s="268"/>
      <c r="O132" s="346"/>
      <c r="P132" s="346"/>
      <c r="Q132" s="346"/>
      <c r="R132" s="346"/>
      <c r="S132" s="346"/>
      <c r="T132" s="346"/>
      <c r="U132" s="346"/>
      <c r="V132" s="346"/>
      <c r="W132" s="346"/>
      <c r="X132" s="347"/>
      <c r="Y132" s="267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9"/>
      <c r="AL132" s="267"/>
      <c r="AM132" s="268"/>
      <c r="AN132" s="268"/>
      <c r="AO132" s="268"/>
      <c r="AP132" s="268"/>
      <c r="AQ132" s="268"/>
      <c r="AR132" s="268"/>
      <c r="AS132" s="268"/>
      <c r="AT132" s="268"/>
      <c r="AU132" s="268"/>
      <c r="AV132" s="268"/>
      <c r="AW132" s="268"/>
      <c r="AX132" s="274"/>
    </row>
    <row r="133" spans="1:50" s="16" customFormat="1" ht="24" customHeight="1" x14ac:dyDescent="0.45">
      <c r="A133" s="335" t="s">
        <v>183</v>
      </c>
      <c r="B133" s="262"/>
      <c r="C133" s="262"/>
      <c r="D133" s="340"/>
      <c r="E133" s="340"/>
      <c r="F133" s="340"/>
      <c r="G133" s="340"/>
      <c r="H133" s="340"/>
      <c r="I133" s="340"/>
      <c r="J133" s="340"/>
      <c r="K133" s="340"/>
      <c r="L133" s="341"/>
      <c r="M133" s="261" t="s">
        <v>183</v>
      </c>
      <c r="N133" s="262"/>
      <c r="O133" s="340"/>
      <c r="P133" s="340"/>
      <c r="Q133" s="340"/>
      <c r="R133" s="340"/>
      <c r="S133" s="340"/>
      <c r="T133" s="340"/>
      <c r="U133" s="340"/>
      <c r="V133" s="340"/>
      <c r="W133" s="340"/>
      <c r="X133" s="341"/>
      <c r="Y133" s="261" t="s">
        <v>183</v>
      </c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3"/>
      <c r="AL133" s="261" t="s">
        <v>183</v>
      </c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72"/>
    </row>
    <row r="134" spans="1:50" s="16" customFormat="1" ht="24" customHeight="1" x14ac:dyDescent="0.45">
      <c r="A134" s="336"/>
      <c r="B134" s="265"/>
      <c r="C134" s="265"/>
      <c r="D134" s="342"/>
      <c r="E134" s="342"/>
      <c r="F134" s="342"/>
      <c r="G134" s="342"/>
      <c r="H134" s="342"/>
      <c r="I134" s="342"/>
      <c r="J134" s="342"/>
      <c r="K134" s="342"/>
      <c r="L134" s="343"/>
      <c r="M134" s="264"/>
      <c r="N134" s="265"/>
      <c r="O134" s="342"/>
      <c r="P134" s="342"/>
      <c r="Q134" s="342"/>
      <c r="R134" s="342"/>
      <c r="S134" s="342"/>
      <c r="T134" s="342"/>
      <c r="U134" s="342"/>
      <c r="V134" s="342"/>
      <c r="W134" s="342"/>
      <c r="X134" s="343"/>
      <c r="Y134" s="264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6"/>
      <c r="AL134" s="264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73"/>
    </row>
    <row r="135" spans="1:50" s="16" customFormat="1" ht="24" customHeight="1" thickBot="1" x14ac:dyDescent="0.5">
      <c r="A135" s="338"/>
      <c r="B135" s="268"/>
      <c r="C135" s="268"/>
      <c r="D135" s="346"/>
      <c r="E135" s="346"/>
      <c r="F135" s="346"/>
      <c r="G135" s="346"/>
      <c r="H135" s="346"/>
      <c r="I135" s="346"/>
      <c r="J135" s="346"/>
      <c r="K135" s="346"/>
      <c r="L135" s="347"/>
      <c r="M135" s="267"/>
      <c r="N135" s="268"/>
      <c r="O135" s="346"/>
      <c r="P135" s="346"/>
      <c r="Q135" s="346"/>
      <c r="R135" s="346"/>
      <c r="S135" s="346"/>
      <c r="T135" s="346"/>
      <c r="U135" s="346"/>
      <c r="V135" s="346"/>
      <c r="W135" s="346"/>
      <c r="X135" s="347"/>
      <c r="Y135" s="267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9"/>
      <c r="AL135" s="267"/>
      <c r="AM135" s="268"/>
      <c r="AN135" s="268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74"/>
    </row>
    <row r="136" spans="1:50" s="16" customFormat="1" ht="24" customHeight="1" x14ac:dyDescent="0.45">
      <c r="A136" s="335" t="s">
        <v>184</v>
      </c>
      <c r="B136" s="262"/>
      <c r="C136" s="262"/>
      <c r="D136" s="339">
        <f>AN17+1</f>
        <v>46029</v>
      </c>
      <c r="E136" s="340"/>
      <c r="F136" s="340"/>
      <c r="G136" s="340"/>
      <c r="H136" s="340"/>
      <c r="I136" s="340"/>
      <c r="J136" s="340"/>
      <c r="K136" s="340"/>
      <c r="L136" s="341"/>
      <c r="M136" s="261" t="s">
        <v>184</v>
      </c>
      <c r="N136" s="262"/>
      <c r="O136" s="339">
        <f>AN17+1</f>
        <v>46029</v>
      </c>
      <c r="P136" s="340"/>
      <c r="Q136" s="340"/>
      <c r="R136" s="340"/>
      <c r="S136" s="340"/>
      <c r="T136" s="340"/>
      <c r="U136" s="340"/>
      <c r="V136" s="340"/>
      <c r="W136" s="340"/>
      <c r="X136" s="341"/>
      <c r="Y136" s="261" t="s">
        <v>184</v>
      </c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3"/>
      <c r="AL136" s="261" t="s">
        <v>184</v>
      </c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72"/>
    </row>
    <row r="137" spans="1:50" s="16" customFormat="1" ht="24" customHeight="1" x14ac:dyDescent="0.45">
      <c r="A137" s="336"/>
      <c r="B137" s="265"/>
      <c r="C137" s="265"/>
      <c r="D137" s="342"/>
      <c r="E137" s="342"/>
      <c r="F137" s="342"/>
      <c r="G137" s="342"/>
      <c r="H137" s="342"/>
      <c r="I137" s="342"/>
      <c r="J137" s="342"/>
      <c r="K137" s="342"/>
      <c r="L137" s="343"/>
      <c r="M137" s="264"/>
      <c r="N137" s="265"/>
      <c r="O137" s="342"/>
      <c r="P137" s="342"/>
      <c r="Q137" s="342"/>
      <c r="R137" s="342"/>
      <c r="S137" s="342"/>
      <c r="T137" s="342"/>
      <c r="U137" s="342"/>
      <c r="V137" s="342"/>
      <c r="W137" s="342"/>
      <c r="X137" s="343"/>
      <c r="Y137" s="264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6"/>
      <c r="AL137" s="264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73"/>
    </row>
    <row r="138" spans="1:50" s="16" customFormat="1" ht="24" customHeight="1" thickBot="1" x14ac:dyDescent="0.5">
      <c r="A138" s="337"/>
      <c r="B138" s="332"/>
      <c r="C138" s="332"/>
      <c r="D138" s="344"/>
      <c r="E138" s="344"/>
      <c r="F138" s="344"/>
      <c r="G138" s="344"/>
      <c r="H138" s="344"/>
      <c r="I138" s="344"/>
      <c r="J138" s="344"/>
      <c r="K138" s="344"/>
      <c r="L138" s="345"/>
      <c r="M138" s="331"/>
      <c r="N138" s="332"/>
      <c r="O138" s="344"/>
      <c r="P138" s="344"/>
      <c r="Q138" s="344"/>
      <c r="R138" s="344"/>
      <c r="S138" s="344"/>
      <c r="T138" s="344"/>
      <c r="U138" s="344"/>
      <c r="V138" s="344"/>
      <c r="W138" s="344"/>
      <c r="X138" s="345"/>
      <c r="Y138" s="331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3"/>
      <c r="AL138" s="331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34"/>
    </row>
    <row r="139" spans="1:50" ht="14.4" thickTop="1" x14ac:dyDescent="0.25"/>
  </sheetData>
  <mergeCells count="4381"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2026-10-27T01:36:58Z</dcterms:modified>
</cp:coreProperties>
</file>